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inqcare.sharepoint.com/sites/Datalake/Shared Documents/0-Plan/"/>
    </mc:Choice>
  </mc:AlternateContent>
  <xr:revisionPtr revIDLastSave="389" documentId="11_574BC256B2F37A304EE4CB0AD5F6B8242C73F6BE" xr6:coauthVersionLast="47" xr6:coauthVersionMax="47" xr10:uidLastSave="{DD9509C7-4CBC-45E6-8D59-0000BFFA4328}"/>
  <bookViews>
    <workbookView xWindow="-108" yWindow="-108" windowWidth="23256" windowHeight="12456" firstSheet="1" activeTab="1" xr2:uid="{00000000-000D-0000-FFFF-FFFF00000000}"/>
  </bookViews>
  <sheets>
    <sheet name="Summary" sheetId="2" r:id="rId1"/>
    <sheet name="BRD Plan" sheetId="1" r:id="rId2"/>
    <sheet name="Infra Plan" sheetId="3" r:id="rId3"/>
  </sheets>
  <definedNames>
    <definedName name="_xlnm._FilterDatabase" localSheetId="1" hidden="1">'BRD Plan'!$A$2:$N$2</definedName>
  </definedNames>
  <calcPr calcId="191028"/>
  <pivotCaches>
    <pivotCache cacheId="119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<sst xmlns="http://schemas.openxmlformats.org/spreadsheetml/2006/main" count="261" uniqueCount="71">
  <si>
    <t>BRD Creation</t>
  </si>
  <si>
    <t>BRD Approval</t>
  </si>
  <si>
    <t>Count of Name</t>
  </si>
  <si>
    <t>Status</t>
  </si>
  <si>
    <t>Status2</t>
  </si>
  <si>
    <t>Domain</t>
  </si>
  <si>
    <t>In Progress</t>
  </si>
  <si>
    <t>Planned</t>
  </si>
  <si>
    <t>(blank)</t>
  </si>
  <si>
    <t>Grand Total</t>
  </si>
  <si>
    <t>Enrollment</t>
  </si>
  <si>
    <t>Daily Census (ADT)</t>
  </si>
  <si>
    <t xml:space="preserve">Claims </t>
  </si>
  <si>
    <t>BRD/Infra Creation</t>
  </si>
  <si>
    <t>BRD Approved</t>
  </si>
  <si>
    <t>#</t>
  </si>
  <si>
    <t>Source/Extract/Integration</t>
  </si>
  <si>
    <t>Name</t>
  </si>
  <si>
    <t>Technology</t>
  </si>
  <si>
    <t>Task</t>
  </si>
  <si>
    <t>Owner</t>
  </si>
  <si>
    <t>Start Date</t>
  </si>
  <si>
    <t>End Date</t>
  </si>
  <si>
    <t>Source Ingestion</t>
  </si>
  <si>
    <t>Fedelis NY Upstate</t>
  </si>
  <si>
    <t>Stored Procedure</t>
  </si>
  <si>
    <t>Syed</t>
  </si>
  <si>
    <t>13/3/2026</t>
  </si>
  <si>
    <t>20/3/2026</t>
  </si>
  <si>
    <t>Fedelis NY downstate</t>
  </si>
  <si>
    <t>Molina NY</t>
  </si>
  <si>
    <t>21/3/2026</t>
  </si>
  <si>
    <t>Optum NY(Manual)</t>
  </si>
  <si>
    <t xml:space="preserve">Centene GA </t>
  </si>
  <si>
    <t>Centene IL</t>
  </si>
  <si>
    <t>Athena (Legacy Grace at Home)</t>
  </si>
  <si>
    <t>TBF</t>
  </si>
  <si>
    <t>CAH_152 (HRSA_x0002_C4M)</t>
  </si>
  <si>
    <t>CMP_1598</t>
  </si>
  <si>
    <t>D0284</t>
  </si>
  <si>
    <t>MSSP</t>
  </si>
  <si>
    <t>Integration</t>
  </si>
  <si>
    <t>Verato Extraction</t>
  </si>
  <si>
    <t>C#</t>
  </si>
  <si>
    <t>ADF to Cinq DB</t>
  </si>
  <si>
    <t>ADF</t>
  </si>
  <si>
    <t>Monica</t>
  </si>
  <si>
    <t>Fedilis NY</t>
  </si>
  <si>
    <t>Rhio</t>
  </si>
  <si>
    <t>Particle  Health</t>
  </si>
  <si>
    <t>Garage</t>
  </si>
  <si>
    <t>PCC</t>
  </si>
  <si>
    <t>Centene</t>
  </si>
  <si>
    <t>Aysha</t>
  </si>
  <si>
    <t>Molina</t>
  </si>
  <si>
    <t>Optum ECG</t>
  </si>
  <si>
    <t>CMS</t>
  </si>
  <si>
    <t>Access to Azure infra</t>
  </si>
  <si>
    <t>Document existing infrastructure</t>
  </si>
  <si>
    <t>Document data lake Azure setup</t>
  </si>
  <si>
    <t>Docker images sync to Cinq environment</t>
  </si>
  <si>
    <t>Validate the permissions between services</t>
  </si>
  <si>
    <t>Data Lake environment - Setup prerequisties</t>
  </si>
  <si>
    <t>Data lake environment - Validate Key Vault &amp; permissions</t>
  </si>
  <si>
    <t>Data lake environment - Setting up the database</t>
  </si>
  <si>
    <t>Data lake environment -Helm Chart Setup &amp; configuration</t>
  </si>
  <si>
    <t>Data lake environment - Setting up the AKS</t>
  </si>
  <si>
    <t>Data lake environment - Setting up the databricks</t>
  </si>
  <si>
    <t>Data lake environment - Github for infrastructure</t>
  </si>
  <si>
    <t>Data lake environment - Github for application code</t>
  </si>
  <si>
    <t>Data lake environment - Setting up github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</si>
</sst>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pivotButton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8.904519791664" createdVersion="8" refreshedVersion="8" minRefreshableVersion="3" recordCount="27" xr:uid="{15AFCCD8-4E81-4009-957B-3867E580C716}">
  <cacheSource type="worksheet">
    <worksheetSource ref="A2:M107" sheet="BRD Plan"/>
  </cacheSource>
  <cacheFields count="13">
    <cacheField name="#" numFmtId="0">
      <sharedItems containsString="0" containsBlank="1" containsNumber="1" containsInteger="1" minValue="1" maxValue="22"/>
    </cacheField>
    <cacheField name="Domain" numFmtId="0">
      <sharedItems containsBlank="1" count="6">
        <s v="Enrollment"/>
        <s v="Daily Census (ADT)"/>
        <s v="Claims "/>
        <m/>
        <s v="Enrollement" u="1"/>
        <s v="Daily Census" u="1"/>
      </sharedItems>
    </cacheField>
    <cacheField name="Source/Extract/Integration" numFmtId="0">
      <sharedItems containsBlank="1"/>
    </cacheField>
    <cacheField name="Name" numFmtId="0">
      <sharedItems containsBlank="1"/>
    </cacheField>
    <cacheField name="Technology" numFmtId="0">
      <sharedItems containsBlank="1"/>
    </cacheField>
    <cacheField name="Task" numFmtId="0">
      <sharedItems containsBlank="1"/>
    </cacheField>
    <cacheField name="Owner" numFmtId="0">
      <sharedItems containsBlank="1"/>
    </cacheField>
    <cacheField name="Status" numFmtId="0">
      <sharedItems containsBlank="1" count="3">
        <s v="In Progress"/>
        <s v="Planned"/>
        <m/>
      </sharedItems>
    </cacheField>
    <cacheField name="Start Date" numFmtId="0">
      <sharedItems containsDate="1" containsBlank="1" containsMixedTypes="1" minDate="2026-03-16T00:00:00" maxDate="2026-03-24T00:00:00"/>
    </cacheField>
    <cacheField name="End Date" numFmtId="0">
      <sharedItems containsDate="1" containsBlank="1" containsMixedTypes="1" minDate="2026-03-20T00:00:00" maxDate="2026-03-28T00:00:00"/>
    </cacheField>
    <cacheField name="Owner2" numFmtId="0">
      <sharedItems containsNonDate="0" containsString="0" containsBlank="1"/>
    </cacheField>
    <cacheField name="Status2" numFmtId="0">
      <sharedItems containsBlank="1" count="2">
        <s v="Planned"/>
        <m/>
      </sharedItems>
    </cacheField>
    <cacheField name="Start Date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1"/>
    <x v="0"/>
    <s v="Source Ingestion"/>
    <s v="Fedelis NY Upstate"/>
    <s v="Stored Procedure"/>
    <s v="BRD Creation"/>
    <s v="Syed"/>
    <x v="0"/>
    <s v="13-3-2026"/>
    <s v="20-3-2026"/>
    <m/>
    <x v="0"/>
    <m/>
  </r>
  <r>
    <n v="2"/>
    <x v="0"/>
    <s v="Source Ingestion"/>
    <s v="Fedelis NY downstate"/>
    <s v="Stored Procedure"/>
    <s v="BRD Creation"/>
    <s v="Syed"/>
    <x v="0"/>
    <s v="13-3-2026"/>
    <s v="20-3-2026"/>
    <m/>
    <x v="0"/>
    <m/>
  </r>
  <r>
    <n v="3"/>
    <x v="0"/>
    <s v="Source Ingestion"/>
    <s v="Molina NY"/>
    <s v="Stored Procedure"/>
    <s v="BRD Creation"/>
    <s v="Syed"/>
    <x v="1"/>
    <d v="2026-03-16T00:00:00"/>
    <s v="21-3-2026"/>
    <m/>
    <x v="0"/>
    <m/>
  </r>
  <r>
    <n v="4"/>
    <x v="0"/>
    <s v="Source Ingestion"/>
    <s v="Optum NY(Manual)"/>
    <s v="Stored Procedure"/>
    <s v="BRD Creation"/>
    <s v="Syed"/>
    <x v="1"/>
    <d v="2026-03-16T00:00:00"/>
    <s v="21-3-2026"/>
    <m/>
    <x v="0"/>
    <m/>
  </r>
  <r>
    <n v="5"/>
    <x v="0"/>
    <s v="Source Ingestion"/>
    <s v="Centene GA "/>
    <s v="Stored Procedure"/>
    <s v="BRD Creation"/>
    <s v="Syed"/>
    <x v="1"/>
    <d v="2026-03-16T00:00:00"/>
    <s v="21-3-2026"/>
    <m/>
    <x v="0"/>
    <m/>
  </r>
  <r>
    <n v="6"/>
    <x v="0"/>
    <s v="Source Ingestion"/>
    <s v="Centene IL"/>
    <s v="Stored Procedure"/>
    <s v="BRD Creation"/>
    <s v="Syed"/>
    <x v="1"/>
    <d v="2026-03-16T00:00:00"/>
    <s v="21-3-2026"/>
    <m/>
    <x v="0"/>
    <m/>
  </r>
  <r>
    <n v="7"/>
    <x v="0"/>
    <s v="Source Ingestion"/>
    <s v="Athena (Legacy Grace at Home)"/>
    <s v="Stored Procedure"/>
    <s v="BRD Creation"/>
    <s v="Syed"/>
    <x v="1"/>
    <s v="TBF"/>
    <s v="TBF"/>
    <m/>
    <x v="0"/>
    <m/>
  </r>
  <r>
    <n v="8"/>
    <x v="0"/>
    <s v="Source Ingestion"/>
    <s v="CAH_152 (HRSA_x0002_C4M)"/>
    <s v="Stored Procedure"/>
    <s v="BRD Creation"/>
    <s v="Syed"/>
    <x v="1"/>
    <s v="TBF"/>
    <s v="TBF"/>
    <m/>
    <x v="0"/>
    <m/>
  </r>
  <r>
    <n v="9"/>
    <x v="0"/>
    <s v="Source Ingestion"/>
    <s v="CMP_1598"/>
    <s v="Stored Procedure"/>
    <s v="BRD Creation"/>
    <s v="Syed"/>
    <x v="1"/>
    <s v="TBF"/>
    <s v="TBF"/>
    <m/>
    <x v="0"/>
    <m/>
  </r>
  <r>
    <n v="10"/>
    <x v="0"/>
    <s v="Source Ingestion"/>
    <s v="D0284"/>
    <s v="Stored Procedure"/>
    <s v="BRD Creation"/>
    <s v="Syed"/>
    <x v="1"/>
    <s v="TBF"/>
    <s v="TBF"/>
    <m/>
    <x v="0"/>
    <m/>
  </r>
  <r>
    <n v="11"/>
    <x v="0"/>
    <s v="Source Ingestion"/>
    <s v="MSSP"/>
    <s v="Stored Procedure"/>
    <s v="BRD Creation"/>
    <s v="Syed"/>
    <x v="1"/>
    <s v="TBF"/>
    <s v="TBF"/>
    <m/>
    <x v="0"/>
    <m/>
  </r>
  <r>
    <n v="12"/>
    <x v="0"/>
    <s v="Integration"/>
    <s v="Verato Extraction"/>
    <s v="C#"/>
    <s v="BRD Creation"/>
    <s v="Syed"/>
    <x v="1"/>
    <s v="TBF"/>
    <s v="TBF"/>
    <m/>
    <x v="0"/>
    <m/>
  </r>
  <r>
    <n v="13"/>
    <x v="1"/>
    <s v="Source Ingestion"/>
    <s v="ADF to Cinq DB"/>
    <s v="ADF"/>
    <s v="BRD Creation"/>
    <s v="Monica"/>
    <x v="1"/>
    <m/>
    <m/>
    <m/>
    <x v="1"/>
    <m/>
  </r>
  <r>
    <n v="14"/>
    <x v="1"/>
    <s v="Integration"/>
    <s v="Fedilis NY"/>
    <s v="ADF"/>
    <s v="BRD Creation"/>
    <s v="Monica"/>
    <x v="1"/>
    <d v="2026-03-16T00:00:00"/>
    <d v="2026-03-20T00:00:00"/>
    <m/>
    <x v="0"/>
    <m/>
  </r>
  <r>
    <n v="15"/>
    <x v="1"/>
    <s v="Integration"/>
    <s v="Rhio"/>
    <s v="ADF"/>
    <s v="BRD Creation"/>
    <s v="Monica"/>
    <x v="1"/>
    <d v="2026-03-16T00:00:00"/>
    <d v="2026-03-20T00:00:00"/>
    <m/>
    <x v="0"/>
    <m/>
  </r>
  <r>
    <n v="16"/>
    <x v="1"/>
    <s v="Integration"/>
    <s v="Particle  Health"/>
    <s v="ADF"/>
    <s v="BRD Creation"/>
    <s v="Monica"/>
    <x v="1"/>
    <d v="2026-03-16T00:00:00"/>
    <d v="2026-03-20T00:00:00"/>
    <m/>
    <x v="0"/>
    <m/>
  </r>
  <r>
    <n v="17"/>
    <x v="1"/>
    <s v="Integration"/>
    <s v="Garage"/>
    <s v="ADF"/>
    <s v="BRD Creation"/>
    <s v="Monica"/>
    <x v="1"/>
    <d v="2026-03-16T00:00:00"/>
    <d v="2026-03-20T00:00:00"/>
    <m/>
    <x v="0"/>
    <m/>
  </r>
  <r>
    <n v="18"/>
    <x v="1"/>
    <s v="Integration"/>
    <s v="PCC"/>
    <s v="ADF"/>
    <s v="BRD Creation"/>
    <s v="Monica"/>
    <x v="1"/>
    <d v="2026-03-16T00:00:00"/>
    <d v="2026-03-20T00:00:00"/>
    <m/>
    <x v="0"/>
    <m/>
  </r>
  <r>
    <n v="19"/>
    <x v="2"/>
    <s v="Source Ingestion"/>
    <s v="Centene"/>
    <m/>
    <s v="BRD Creation"/>
    <s v="Aysha"/>
    <x v="1"/>
    <d v="2026-03-16T00:00:00"/>
    <d v="2026-03-20T00:00:00"/>
    <m/>
    <x v="1"/>
    <m/>
  </r>
  <r>
    <n v="20"/>
    <x v="2"/>
    <s v="Source Ingestion"/>
    <s v="Molina"/>
    <m/>
    <s v="BRD Creation"/>
    <s v="Aysha"/>
    <x v="1"/>
    <d v="2026-03-23T00:00:00"/>
    <d v="2026-03-27T00:00:00"/>
    <m/>
    <x v="1"/>
    <m/>
  </r>
  <r>
    <n v="21"/>
    <x v="2"/>
    <s v="Source Ingestion"/>
    <s v="Optum ECG"/>
    <m/>
    <s v="BRD Creation"/>
    <s v="Aysha"/>
    <x v="1"/>
    <s v="TBF"/>
    <s v="TBF"/>
    <m/>
    <x v="1"/>
    <m/>
  </r>
  <r>
    <n v="22"/>
    <x v="2"/>
    <s v="Source Ingestion"/>
    <s v="CMS"/>
    <m/>
    <s v="BRD Creation"/>
    <s v="Aysha"/>
    <x v="1"/>
    <s v="TBF"/>
    <s v="TBF"/>
    <m/>
    <x v="1"/>
    <m/>
  </r>
  <r>
    <m/>
    <x v="3"/>
    <m/>
    <m/>
    <m/>
    <m/>
    <m/>
    <x v="2"/>
    <m/>
    <m/>
    <m/>
    <x v="1"/>
    <m/>
  </r>
  <r>
    <m/>
    <x v="3"/>
    <m/>
    <m/>
    <m/>
    <m/>
    <m/>
    <x v="2"/>
    <m/>
    <m/>
    <m/>
    <x v="1"/>
    <m/>
  </r>
  <r>
    <m/>
    <x v="3"/>
    <m/>
    <m/>
    <m/>
    <m/>
    <m/>
    <x v="2"/>
    <m/>
    <m/>
    <m/>
    <x v="1"/>
    <m/>
  </r>
  <r>
    <m/>
    <x v="3"/>
    <m/>
    <m/>
    <m/>
    <m/>
    <m/>
    <x v="2"/>
    <m/>
    <m/>
    <m/>
    <x v="1"/>
    <m/>
  </r>
  <r>
    <m/>
    <x v="3"/>
    <m/>
    <m/>
    <m/>
    <m/>
    <m/>
    <x v="2"/>
    <m/>
    <m/>
    <m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AF4C7-FBA1-4E1A-BF72-B1A25E7D282A}" name="PivotTable1" cacheId="1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4:F10" firstHeaderRow="1" firstDataRow="2" firstDataCol="1"/>
  <pivotFields count="13">
    <pivotField compact="0" outline="0" showAll="0"/>
    <pivotField axis="axisRow" compact="0" outline="0" showAll="0">
      <items count="7">
        <item m="1" x="4"/>
        <item x="3"/>
        <item m="1" x="5"/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5">
    <i>
      <x v="1"/>
    </i>
    <i>
      <x v="3"/>
    </i>
    <i>
      <x v="4"/>
    </i>
    <i>
      <x v="5"/>
    </i>
    <i t="grand">
      <x/>
    </i>
  </rowItems>
  <colFields count="1">
    <field x="7"/>
  </colFields>
  <colItems count="4">
    <i>
      <x/>
    </i>
    <i>
      <x v="1"/>
    </i>
    <i>
      <x v="2"/>
    </i>
    <i t="grand">
      <x/>
    </i>
  </colItems>
  <dataFields count="1">
    <dataField name="Count of Name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A8584F-EBBB-4D8F-9813-C5BCBF9C8DA1}" name="PivotTable2" cacheId="11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H4:K10" firstHeaderRow="1" firstDataRow="2" firstDataCol="1"/>
  <pivotFields count="13">
    <pivotField compact="0" outline="0" showAll="0"/>
    <pivotField axis="axisRow" compact="0" outline="0" showAll="0">
      <items count="7">
        <item m="1" x="4"/>
        <item x="3"/>
        <item m="1" x="5"/>
        <item x="0"/>
        <item x="1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1"/>
  </rowFields>
  <rowItems count="5">
    <i>
      <x v="1"/>
    </i>
    <i>
      <x v="3"/>
    </i>
    <i>
      <x v="4"/>
    </i>
    <i>
      <x v="5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ount of Name" fld="3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3C218-6514-4B97-A454-50CE1E3BDDC2}">
  <dimension ref="B2:K10"/>
  <sheetViews>
    <sheetView workbookViewId="0">
      <selection activeCell="I12" sqref="I12"/>
    </sheetView>
  </sheetViews>
  <sheetFormatPr defaultRowHeight="15"/>
  <cols>
    <col min="2" max="2" width="17.7109375" bestFit="1" customWidth="1"/>
    <col min="3" max="3" width="11" bestFit="1" customWidth="1"/>
    <col min="4" max="4" width="8.42578125" bestFit="1" customWidth="1"/>
    <col min="5" max="5" width="7.42578125" bestFit="1" customWidth="1"/>
    <col min="6" max="7" width="11.7109375" bestFit="1" customWidth="1"/>
    <col min="8" max="8" width="17.7109375" bestFit="1" customWidth="1"/>
    <col min="9" max="9" width="11" bestFit="1" customWidth="1"/>
    <col min="10" max="10" width="8.42578125" bestFit="1" customWidth="1"/>
    <col min="11" max="11" width="11.7109375" bestFit="1" customWidth="1"/>
    <col min="12" max="12" width="13.5703125" bestFit="1" customWidth="1"/>
    <col min="13" max="13" width="9.28515625" bestFit="1" customWidth="1"/>
    <col min="14" max="14" width="12.42578125" bestFit="1" customWidth="1"/>
    <col min="15" max="15" width="11.7109375" bestFit="1" customWidth="1"/>
  </cols>
  <sheetData>
    <row r="2" spans="2:11">
      <c r="B2" t="s">
        <v>0</v>
      </c>
      <c r="H2" t="s">
        <v>1</v>
      </c>
    </row>
    <row r="4" spans="2:11">
      <c r="B4" s="4" t="s">
        <v>2</v>
      </c>
      <c r="C4" s="4" t="s">
        <v>3</v>
      </c>
      <c r="H4" s="4" t="s">
        <v>2</v>
      </c>
      <c r="I4" s="4" t="s">
        <v>4</v>
      </c>
    </row>
    <row r="5" spans="2:11">
      <c r="B5" s="4" t="s">
        <v>5</v>
      </c>
      <c r="C5" t="s">
        <v>6</v>
      </c>
      <c r="D5" t="s">
        <v>7</v>
      </c>
      <c r="E5" t="s">
        <v>8</v>
      </c>
      <c r="F5" t="s">
        <v>9</v>
      </c>
      <c r="H5" s="4" t="s">
        <v>5</v>
      </c>
      <c r="I5" t="s">
        <v>8</v>
      </c>
      <c r="J5" t="s">
        <v>7</v>
      </c>
      <c r="K5" t="s">
        <v>9</v>
      </c>
    </row>
    <row r="6" spans="2:11">
      <c r="B6" t="s">
        <v>8</v>
      </c>
      <c r="H6" t="s">
        <v>8</v>
      </c>
    </row>
    <row r="7" spans="2:11">
      <c r="B7" t="s">
        <v>10</v>
      </c>
      <c r="C7">
        <v>2</v>
      </c>
      <c r="D7">
        <v>10</v>
      </c>
      <c r="F7">
        <v>12</v>
      </c>
      <c r="H7" t="s">
        <v>10</v>
      </c>
      <c r="J7">
        <v>12</v>
      </c>
      <c r="K7">
        <v>12</v>
      </c>
    </row>
    <row r="8" spans="2:11">
      <c r="B8" t="s">
        <v>11</v>
      </c>
      <c r="D8">
        <v>6</v>
      </c>
      <c r="F8">
        <v>6</v>
      </c>
      <c r="H8" t="s">
        <v>11</v>
      </c>
      <c r="I8">
        <v>1</v>
      </c>
      <c r="J8">
        <v>5</v>
      </c>
      <c r="K8">
        <v>6</v>
      </c>
    </row>
    <row r="9" spans="2:11">
      <c r="B9" t="s">
        <v>12</v>
      </c>
      <c r="D9">
        <v>4</v>
      </c>
      <c r="F9">
        <v>4</v>
      </c>
      <c r="H9" t="s">
        <v>12</v>
      </c>
      <c r="I9">
        <v>4</v>
      </c>
      <c r="K9">
        <v>4</v>
      </c>
    </row>
    <row r="10" spans="2:11">
      <c r="B10" t="s">
        <v>9</v>
      </c>
      <c r="C10">
        <v>2</v>
      </c>
      <c r="D10">
        <v>20</v>
      </c>
      <c r="F10">
        <v>22</v>
      </c>
      <c r="H10" t="s">
        <v>9</v>
      </c>
      <c r="I10">
        <v>5</v>
      </c>
      <c r="J10">
        <v>17</v>
      </c>
      <c r="K10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C11" sqref="C11"/>
    </sheetView>
  </sheetViews>
  <sheetFormatPr defaultRowHeight="15"/>
  <cols>
    <col min="1" max="1" width="5.85546875" style="2" customWidth="1"/>
    <col min="2" max="2" width="17.7109375" bestFit="1" customWidth="1"/>
    <col min="3" max="3" width="28.140625" bestFit="1" customWidth="1"/>
    <col min="4" max="4" width="29.28515625" bestFit="1" customWidth="1"/>
    <col min="5" max="5" width="16" customWidth="1"/>
    <col min="6" max="6" width="12.7109375" bestFit="1" customWidth="1"/>
    <col min="7" max="7" width="9.42578125" bestFit="1" customWidth="1"/>
    <col min="8" max="8" width="10.7109375" bestFit="1" customWidth="1"/>
    <col min="9" max="9" width="12.42578125" bestFit="1" customWidth="1"/>
    <col min="10" max="10" width="11.42578125" bestFit="1" customWidth="1"/>
    <col min="11" max="11" width="9.42578125" bestFit="1" customWidth="1"/>
    <col min="12" max="12" width="9" bestFit="1" customWidth="1"/>
    <col min="13" max="13" width="12.42578125" bestFit="1" customWidth="1"/>
    <col min="14" max="14" width="11.42578125" bestFit="1" customWidth="1"/>
  </cols>
  <sheetData>
    <row r="1" spans="1:14">
      <c r="A1" s="5"/>
      <c r="B1" s="5"/>
      <c r="C1" s="5"/>
      <c r="D1" s="5"/>
      <c r="E1" s="5"/>
      <c r="F1" s="14" t="s">
        <v>13</v>
      </c>
      <c r="G1" s="14"/>
      <c r="H1" s="14"/>
      <c r="I1" s="14"/>
      <c r="J1" s="14"/>
      <c r="K1" s="14" t="s">
        <v>14</v>
      </c>
      <c r="L1" s="14"/>
      <c r="M1" s="14"/>
      <c r="N1" s="14"/>
    </row>
    <row r="2" spans="1:14">
      <c r="A2" s="5" t="s">
        <v>15</v>
      </c>
      <c r="B2" s="5" t="s">
        <v>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3</v>
      </c>
      <c r="I2" s="5" t="s">
        <v>21</v>
      </c>
      <c r="J2" s="5" t="s">
        <v>22</v>
      </c>
      <c r="K2" s="5" t="s">
        <v>20</v>
      </c>
      <c r="L2" s="5" t="s">
        <v>3</v>
      </c>
      <c r="M2" s="5" t="s">
        <v>21</v>
      </c>
      <c r="N2" s="5" t="s">
        <v>22</v>
      </c>
    </row>
    <row r="3" spans="1:14">
      <c r="A3" s="6">
        <v>1</v>
      </c>
      <c r="B3" s="1" t="s">
        <v>10</v>
      </c>
      <c r="C3" s="1" t="s">
        <v>23</v>
      </c>
      <c r="D3" s="1" t="s">
        <v>24</v>
      </c>
      <c r="E3" s="1" t="s">
        <v>25</v>
      </c>
      <c r="F3" s="1" t="s">
        <v>0</v>
      </c>
      <c r="G3" s="1" t="s">
        <v>26</v>
      </c>
      <c r="H3" s="1" t="s">
        <v>6</v>
      </c>
      <c r="I3" s="1" t="s">
        <v>27</v>
      </c>
      <c r="J3" s="11" t="s">
        <v>28</v>
      </c>
      <c r="K3" s="1"/>
      <c r="L3" s="1" t="s">
        <v>7</v>
      </c>
      <c r="M3" s="1"/>
      <c r="N3" s="1"/>
    </row>
    <row r="4" spans="1:14">
      <c r="A4" s="6">
        <v>2</v>
      </c>
      <c r="B4" s="1" t="s">
        <v>10</v>
      </c>
      <c r="C4" s="1" t="s">
        <v>23</v>
      </c>
      <c r="D4" s="1" t="s">
        <v>29</v>
      </c>
      <c r="E4" s="1" t="s">
        <v>25</v>
      </c>
      <c r="F4" s="1" t="s">
        <v>0</v>
      </c>
      <c r="G4" s="1" t="s">
        <v>26</v>
      </c>
      <c r="H4" s="1" t="s">
        <v>6</v>
      </c>
      <c r="I4" s="11" t="s">
        <v>27</v>
      </c>
      <c r="J4" s="11" t="s">
        <v>28</v>
      </c>
      <c r="K4" s="1"/>
      <c r="L4" s="1" t="s">
        <v>7</v>
      </c>
      <c r="M4" s="1"/>
      <c r="N4" s="1"/>
    </row>
    <row r="5" spans="1:14">
      <c r="A5" s="6">
        <v>3</v>
      </c>
      <c r="B5" s="1" t="s">
        <v>10</v>
      </c>
      <c r="C5" s="1" t="s">
        <v>23</v>
      </c>
      <c r="D5" s="1" t="s">
        <v>30</v>
      </c>
      <c r="E5" s="1" t="s">
        <v>25</v>
      </c>
      <c r="F5" s="1" t="s">
        <v>0</v>
      </c>
      <c r="G5" s="1" t="s">
        <v>26</v>
      </c>
      <c r="H5" s="1" t="s">
        <v>7</v>
      </c>
      <c r="I5" s="12">
        <v>46097</v>
      </c>
      <c r="J5" s="11" t="s">
        <v>31</v>
      </c>
      <c r="K5" s="1"/>
      <c r="L5" s="1" t="s">
        <v>7</v>
      </c>
      <c r="M5" s="1"/>
      <c r="N5" s="1"/>
    </row>
    <row r="6" spans="1:14">
      <c r="A6" s="6">
        <v>4</v>
      </c>
      <c r="B6" s="1" t="s">
        <v>10</v>
      </c>
      <c r="C6" s="1" t="s">
        <v>23</v>
      </c>
      <c r="D6" s="1" t="s">
        <v>32</v>
      </c>
      <c r="E6" s="1" t="s">
        <v>25</v>
      </c>
      <c r="F6" s="1" t="s">
        <v>0</v>
      </c>
      <c r="G6" s="1" t="s">
        <v>26</v>
      </c>
      <c r="H6" s="1" t="s">
        <v>7</v>
      </c>
      <c r="I6" s="12">
        <v>46097</v>
      </c>
      <c r="J6" s="11" t="s">
        <v>31</v>
      </c>
      <c r="K6" s="1"/>
      <c r="L6" s="1" t="s">
        <v>7</v>
      </c>
      <c r="M6" s="1"/>
      <c r="N6" s="1"/>
    </row>
    <row r="7" spans="1:14">
      <c r="A7" s="6">
        <v>5</v>
      </c>
      <c r="B7" s="1" t="s">
        <v>10</v>
      </c>
      <c r="C7" s="1" t="s">
        <v>23</v>
      </c>
      <c r="D7" s="1" t="s">
        <v>33</v>
      </c>
      <c r="E7" s="1" t="s">
        <v>25</v>
      </c>
      <c r="F7" s="1" t="s">
        <v>0</v>
      </c>
      <c r="G7" s="1" t="s">
        <v>26</v>
      </c>
      <c r="H7" s="1" t="s">
        <v>7</v>
      </c>
      <c r="I7" s="12">
        <v>46097</v>
      </c>
      <c r="J7" s="11" t="s">
        <v>31</v>
      </c>
      <c r="K7" s="1"/>
      <c r="L7" s="1" t="s">
        <v>7</v>
      </c>
      <c r="M7" s="1"/>
      <c r="N7" s="1"/>
    </row>
    <row r="8" spans="1:14">
      <c r="A8" s="6">
        <v>6</v>
      </c>
      <c r="B8" s="1" t="s">
        <v>10</v>
      </c>
      <c r="C8" s="1" t="s">
        <v>23</v>
      </c>
      <c r="D8" s="1" t="s">
        <v>34</v>
      </c>
      <c r="E8" s="1" t="s">
        <v>25</v>
      </c>
      <c r="F8" s="1" t="s">
        <v>0</v>
      </c>
      <c r="G8" s="1" t="s">
        <v>26</v>
      </c>
      <c r="H8" s="1" t="s">
        <v>7</v>
      </c>
      <c r="I8" s="12">
        <v>46097</v>
      </c>
      <c r="J8" s="11" t="s">
        <v>31</v>
      </c>
      <c r="K8" s="1"/>
      <c r="L8" s="1" t="s">
        <v>7</v>
      </c>
      <c r="M8" s="1"/>
      <c r="N8" s="1"/>
    </row>
    <row r="9" spans="1:14">
      <c r="A9" s="6">
        <f t="shared" ref="A9:A24" si="0">A8+1</f>
        <v>7</v>
      </c>
      <c r="B9" s="1" t="s">
        <v>10</v>
      </c>
      <c r="C9" s="1" t="s">
        <v>23</v>
      </c>
      <c r="D9" s="1" t="s">
        <v>35</v>
      </c>
      <c r="E9" s="1" t="s">
        <v>25</v>
      </c>
      <c r="F9" s="1" t="s">
        <v>0</v>
      </c>
      <c r="G9" s="1" t="s">
        <v>26</v>
      </c>
      <c r="H9" s="1" t="s">
        <v>7</v>
      </c>
      <c r="I9" s="11" t="s">
        <v>31</v>
      </c>
      <c r="J9" s="11" t="s">
        <v>36</v>
      </c>
      <c r="K9" s="1"/>
      <c r="L9" s="1" t="s">
        <v>7</v>
      </c>
      <c r="M9" s="1"/>
      <c r="N9" s="1"/>
    </row>
    <row r="10" spans="1:14">
      <c r="A10" s="6">
        <f t="shared" si="0"/>
        <v>8</v>
      </c>
      <c r="B10" s="1" t="s">
        <v>10</v>
      </c>
      <c r="C10" s="1" t="s">
        <v>23</v>
      </c>
      <c r="D10" s="1" t="s">
        <v>37</v>
      </c>
      <c r="E10" s="1" t="s">
        <v>25</v>
      </c>
      <c r="F10" s="1" t="s">
        <v>0</v>
      </c>
      <c r="G10" s="1" t="s">
        <v>26</v>
      </c>
      <c r="H10" s="1" t="s">
        <v>7</v>
      </c>
      <c r="I10" s="11" t="s">
        <v>31</v>
      </c>
      <c r="J10" s="11" t="s">
        <v>36</v>
      </c>
      <c r="K10" s="1"/>
      <c r="L10" s="1" t="s">
        <v>7</v>
      </c>
      <c r="M10" s="1"/>
      <c r="N10" s="1"/>
    </row>
    <row r="11" spans="1:14">
      <c r="A11" s="6">
        <f t="shared" si="0"/>
        <v>9</v>
      </c>
      <c r="B11" s="1" t="s">
        <v>10</v>
      </c>
      <c r="C11" s="1" t="s">
        <v>23</v>
      </c>
      <c r="D11" s="1" t="s">
        <v>38</v>
      </c>
      <c r="E11" s="1" t="s">
        <v>25</v>
      </c>
      <c r="F11" s="1" t="s">
        <v>0</v>
      </c>
      <c r="G11" s="1" t="s">
        <v>26</v>
      </c>
      <c r="H11" s="1" t="s">
        <v>7</v>
      </c>
      <c r="I11" s="11" t="s">
        <v>31</v>
      </c>
      <c r="J11" s="11" t="s">
        <v>36</v>
      </c>
      <c r="K11" s="1"/>
      <c r="L11" s="1" t="s">
        <v>7</v>
      </c>
      <c r="M11" s="1"/>
      <c r="N11" s="1"/>
    </row>
    <row r="12" spans="1:14">
      <c r="A12" s="6">
        <f t="shared" si="0"/>
        <v>10</v>
      </c>
      <c r="B12" s="1" t="s">
        <v>10</v>
      </c>
      <c r="C12" s="1" t="s">
        <v>23</v>
      </c>
      <c r="D12" s="1" t="s">
        <v>39</v>
      </c>
      <c r="E12" s="1" t="s">
        <v>25</v>
      </c>
      <c r="F12" s="1" t="s">
        <v>0</v>
      </c>
      <c r="G12" s="1" t="s">
        <v>26</v>
      </c>
      <c r="H12" s="1" t="s">
        <v>7</v>
      </c>
      <c r="I12" s="11" t="s">
        <v>31</v>
      </c>
      <c r="J12" s="11" t="s">
        <v>36</v>
      </c>
      <c r="K12" s="1"/>
      <c r="L12" s="1" t="s">
        <v>7</v>
      </c>
      <c r="M12" s="1"/>
      <c r="N12" s="1"/>
    </row>
    <row r="13" spans="1:14">
      <c r="A13" s="6">
        <f t="shared" si="0"/>
        <v>11</v>
      </c>
      <c r="B13" s="1" t="s">
        <v>10</v>
      </c>
      <c r="C13" s="1" t="s">
        <v>23</v>
      </c>
      <c r="D13" s="1" t="s">
        <v>40</v>
      </c>
      <c r="E13" s="1" t="s">
        <v>25</v>
      </c>
      <c r="F13" s="1" t="s">
        <v>0</v>
      </c>
      <c r="G13" s="1" t="s">
        <v>26</v>
      </c>
      <c r="H13" s="1" t="s">
        <v>7</v>
      </c>
      <c r="I13" s="11" t="s">
        <v>31</v>
      </c>
      <c r="J13" s="11" t="s">
        <v>36</v>
      </c>
      <c r="K13" s="1"/>
      <c r="L13" s="1" t="s">
        <v>7</v>
      </c>
      <c r="M13" s="1"/>
      <c r="N13" s="1"/>
    </row>
    <row r="14" spans="1:14">
      <c r="A14" s="6">
        <f t="shared" si="0"/>
        <v>12</v>
      </c>
      <c r="B14" s="1" t="s">
        <v>10</v>
      </c>
      <c r="C14" s="1" t="s">
        <v>41</v>
      </c>
      <c r="D14" s="1" t="s">
        <v>42</v>
      </c>
      <c r="E14" s="1" t="s">
        <v>43</v>
      </c>
      <c r="F14" s="1" t="s">
        <v>0</v>
      </c>
      <c r="G14" s="1" t="s">
        <v>26</v>
      </c>
      <c r="H14" s="1" t="s">
        <v>7</v>
      </c>
      <c r="I14" s="11" t="s">
        <v>31</v>
      </c>
      <c r="J14" s="11" t="s">
        <v>36</v>
      </c>
      <c r="K14" s="1"/>
      <c r="L14" s="1" t="s">
        <v>7</v>
      </c>
      <c r="M14" s="1"/>
      <c r="N14" s="1"/>
    </row>
    <row r="15" spans="1:14">
      <c r="A15" s="6">
        <f t="shared" si="0"/>
        <v>13</v>
      </c>
      <c r="B15" s="1" t="s">
        <v>11</v>
      </c>
      <c r="C15" s="1" t="s">
        <v>23</v>
      </c>
      <c r="D15" s="1" t="s">
        <v>44</v>
      </c>
      <c r="E15" s="1" t="s">
        <v>45</v>
      </c>
      <c r="F15" s="1" t="s">
        <v>0</v>
      </c>
      <c r="G15" s="1" t="s">
        <v>46</v>
      </c>
      <c r="H15" s="1" t="s">
        <v>7</v>
      </c>
      <c r="I15" s="1"/>
      <c r="J15" s="11"/>
      <c r="K15" s="1"/>
      <c r="L15" s="1"/>
      <c r="M15" s="1"/>
      <c r="N15" s="1"/>
    </row>
    <row r="16" spans="1:14">
      <c r="A16" s="6">
        <f t="shared" si="0"/>
        <v>14</v>
      </c>
      <c r="B16" s="1" t="s">
        <v>11</v>
      </c>
      <c r="C16" s="1" t="s">
        <v>41</v>
      </c>
      <c r="D16" s="1" t="s">
        <v>47</v>
      </c>
      <c r="E16" s="1" t="s">
        <v>45</v>
      </c>
      <c r="F16" s="1" t="s">
        <v>0</v>
      </c>
      <c r="G16" s="1" t="s">
        <v>46</v>
      </c>
      <c r="H16" s="1" t="s">
        <v>7</v>
      </c>
      <c r="I16" s="13">
        <v>46097</v>
      </c>
      <c r="J16" s="12">
        <v>46101</v>
      </c>
      <c r="K16" s="1"/>
      <c r="L16" s="1" t="s">
        <v>7</v>
      </c>
      <c r="M16" s="1"/>
      <c r="N16" s="1"/>
    </row>
    <row r="17" spans="1:14">
      <c r="A17" s="6">
        <f t="shared" si="0"/>
        <v>15</v>
      </c>
      <c r="B17" s="1" t="s">
        <v>11</v>
      </c>
      <c r="C17" s="1" t="s">
        <v>41</v>
      </c>
      <c r="D17" s="1" t="s">
        <v>48</v>
      </c>
      <c r="E17" s="1" t="s">
        <v>45</v>
      </c>
      <c r="F17" s="1" t="s">
        <v>0</v>
      </c>
      <c r="G17" s="1" t="s">
        <v>46</v>
      </c>
      <c r="H17" s="1" t="s">
        <v>7</v>
      </c>
      <c r="I17" s="13">
        <v>46097</v>
      </c>
      <c r="J17" s="12">
        <v>46101</v>
      </c>
      <c r="K17" s="1"/>
      <c r="L17" s="1" t="s">
        <v>7</v>
      </c>
      <c r="M17" s="1"/>
      <c r="N17" s="1"/>
    </row>
    <row r="18" spans="1:14">
      <c r="A18" s="6">
        <f t="shared" si="0"/>
        <v>16</v>
      </c>
      <c r="B18" s="1" t="s">
        <v>11</v>
      </c>
      <c r="C18" s="1" t="s">
        <v>41</v>
      </c>
      <c r="D18" s="1" t="s">
        <v>49</v>
      </c>
      <c r="E18" s="1" t="s">
        <v>45</v>
      </c>
      <c r="F18" s="1" t="s">
        <v>0</v>
      </c>
      <c r="G18" s="1" t="s">
        <v>46</v>
      </c>
      <c r="H18" s="1" t="s">
        <v>7</v>
      </c>
      <c r="I18" s="13">
        <v>46097</v>
      </c>
      <c r="J18" s="12">
        <v>46101</v>
      </c>
      <c r="K18" s="1"/>
      <c r="L18" s="1" t="s">
        <v>7</v>
      </c>
      <c r="M18" s="1"/>
      <c r="N18" s="1"/>
    </row>
    <row r="19" spans="1:14">
      <c r="A19" s="6">
        <f t="shared" si="0"/>
        <v>17</v>
      </c>
      <c r="B19" s="1" t="s">
        <v>11</v>
      </c>
      <c r="C19" s="1" t="s">
        <v>41</v>
      </c>
      <c r="D19" s="1" t="s">
        <v>50</v>
      </c>
      <c r="E19" s="1" t="s">
        <v>45</v>
      </c>
      <c r="F19" s="1" t="s">
        <v>0</v>
      </c>
      <c r="G19" s="1" t="s">
        <v>46</v>
      </c>
      <c r="H19" s="1" t="s">
        <v>7</v>
      </c>
      <c r="I19" s="13">
        <v>46097</v>
      </c>
      <c r="J19" s="12">
        <v>46101</v>
      </c>
      <c r="K19" s="1"/>
      <c r="L19" s="1" t="s">
        <v>7</v>
      </c>
      <c r="M19" s="1"/>
      <c r="N19" s="1"/>
    </row>
    <row r="20" spans="1:14">
      <c r="A20" s="6">
        <f t="shared" si="0"/>
        <v>18</v>
      </c>
      <c r="B20" s="1" t="s">
        <v>11</v>
      </c>
      <c r="C20" s="1" t="s">
        <v>41</v>
      </c>
      <c r="D20" s="1" t="s">
        <v>51</v>
      </c>
      <c r="E20" s="1" t="s">
        <v>45</v>
      </c>
      <c r="F20" s="1" t="s">
        <v>0</v>
      </c>
      <c r="G20" s="1" t="s">
        <v>46</v>
      </c>
      <c r="H20" s="1" t="s">
        <v>7</v>
      </c>
      <c r="I20" s="13">
        <v>46097</v>
      </c>
      <c r="J20" s="12">
        <v>46101</v>
      </c>
      <c r="K20" s="1"/>
      <c r="L20" s="1" t="s">
        <v>7</v>
      </c>
      <c r="M20" s="1"/>
      <c r="N20" s="1"/>
    </row>
    <row r="21" spans="1:14">
      <c r="A21" s="6">
        <f t="shared" si="0"/>
        <v>19</v>
      </c>
      <c r="B21" s="1" t="s">
        <v>12</v>
      </c>
      <c r="C21" s="1" t="s">
        <v>23</v>
      </c>
      <c r="D21" s="1" t="s">
        <v>52</v>
      </c>
      <c r="E21" s="1"/>
      <c r="F21" s="1" t="s">
        <v>0</v>
      </c>
      <c r="G21" s="1" t="s">
        <v>53</v>
      </c>
      <c r="H21" s="1" t="s">
        <v>7</v>
      </c>
      <c r="I21" s="13">
        <v>46097</v>
      </c>
      <c r="J21" s="12">
        <v>46101</v>
      </c>
      <c r="K21" s="1"/>
      <c r="L21" s="1"/>
      <c r="M21" s="1"/>
      <c r="N21" s="1"/>
    </row>
    <row r="22" spans="1:14">
      <c r="A22" s="6">
        <f t="shared" si="0"/>
        <v>20</v>
      </c>
      <c r="B22" s="1" t="s">
        <v>12</v>
      </c>
      <c r="C22" s="1" t="s">
        <v>23</v>
      </c>
      <c r="D22" s="1" t="s">
        <v>54</v>
      </c>
      <c r="E22" s="1"/>
      <c r="F22" s="1" t="s">
        <v>0</v>
      </c>
      <c r="G22" s="1" t="s">
        <v>53</v>
      </c>
      <c r="H22" s="1" t="s">
        <v>7</v>
      </c>
      <c r="I22" s="13">
        <v>46104</v>
      </c>
      <c r="J22" s="12">
        <v>46108</v>
      </c>
      <c r="K22" s="1"/>
      <c r="L22" s="1"/>
      <c r="M22" s="1"/>
      <c r="N22" s="1"/>
    </row>
    <row r="23" spans="1:14">
      <c r="A23" s="6">
        <f t="shared" si="0"/>
        <v>21</v>
      </c>
      <c r="B23" s="1" t="s">
        <v>12</v>
      </c>
      <c r="C23" s="1" t="s">
        <v>23</v>
      </c>
      <c r="D23" s="1" t="s">
        <v>55</v>
      </c>
      <c r="E23" s="1"/>
      <c r="F23" s="1" t="s">
        <v>0</v>
      </c>
      <c r="G23" s="1" t="s">
        <v>53</v>
      </c>
      <c r="H23" s="1" t="s">
        <v>7</v>
      </c>
      <c r="I23" s="1" t="s">
        <v>36</v>
      </c>
      <c r="J23" s="11" t="s">
        <v>36</v>
      </c>
      <c r="K23" s="1"/>
      <c r="L23" s="1"/>
      <c r="M23" s="1"/>
      <c r="N23" s="1"/>
    </row>
    <row r="24" spans="1:14">
      <c r="A24" s="6">
        <f t="shared" si="0"/>
        <v>22</v>
      </c>
      <c r="B24" s="1" t="s">
        <v>12</v>
      </c>
      <c r="C24" s="1" t="s">
        <v>23</v>
      </c>
      <c r="D24" s="1" t="s">
        <v>56</v>
      </c>
      <c r="E24" s="1"/>
      <c r="F24" s="1" t="s">
        <v>0</v>
      </c>
      <c r="G24" s="1" t="s">
        <v>53</v>
      </c>
      <c r="H24" s="1" t="s">
        <v>7</v>
      </c>
      <c r="I24" s="1" t="s">
        <v>36</v>
      </c>
      <c r="J24" s="11" t="s">
        <v>36</v>
      </c>
      <c r="K24" s="1"/>
      <c r="L24" s="1"/>
      <c r="M24" s="1"/>
      <c r="N24" s="1"/>
    </row>
    <row r="25" spans="1:14">
      <c r="A25" s="9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</row>
    <row r="26" spans="1:14">
      <c r="A26" s="7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7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7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</sheetData>
  <autoFilter ref="A2:N2" xr:uid="{00000000-0001-0000-0000-000000000000}"/>
  <mergeCells count="2">
    <mergeCell ref="F1:J1"/>
    <mergeCell ref="K1:N1"/>
  </mergeCells>
  <phoneticPr fontId="2" type="noConversion"/>
  <dataValidations count="1">
    <dataValidation type="list" allowBlank="1" showInputMessage="1" showErrorMessage="1" sqref="L3:L20 H3:H24" xr:uid="{C9CA6169-9B60-42A6-A45E-69DC14D4ACFF}">
      <formula1>"In Progress,Planned,Completed"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D63F4-8614-433E-92A3-78DD6C3C19D9}">
  <dimension ref="A1:F20"/>
  <sheetViews>
    <sheetView workbookViewId="0">
      <selection activeCell="D14" sqref="D14"/>
    </sheetView>
  </sheetViews>
  <sheetFormatPr defaultRowHeight="15"/>
  <cols>
    <col min="2" max="2" width="51.5703125" customWidth="1"/>
    <col min="6" max="6" width="15.28515625" customWidth="1"/>
  </cols>
  <sheetData>
    <row r="1" spans="1:6">
      <c r="A1" s="8" t="s">
        <v>15</v>
      </c>
      <c r="B1" s="8" t="s">
        <v>19</v>
      </c>
      <c r="C1" s="8" t="s">
        <v>20</v>
      </c>
      <c r="D1" s="8" t="s">
        <v>3</v>
      </c>
      <c r="E1" s="8" t="s">
        <v>21</v>
      </c>
      <c r="F1" s="8" t="s">
        <v>22</v>
      </c>
    </row>
    <row r="2" spans="1:6">
      <c r="A2" s="1">
        <v>1</v>
      </c>
      <c r="B2" s="1" t="s">
        <v>57</v>
      </c>
      <c r="C2" s="1"/>
      <c r="D2" s="1"/>
      <c r="E2" s="1"/>
      <c r="F2" s="1"/>
    </row>
    <row r="3" spans="1:6">
      <c r="A3" s="1">
        <v>2</v>
      </c>
      <c r="B3" s="1" t="s">
        <v>58</v>
      </c>
      <c r="C3" s="1"/>
      <c r="D3" s="1"/>
      <c r="E3" s="1"/>
      <c r="F3" s="1"/>
    </row>
    <row r="4" spans="1:6">
      <c r="A4" s="1">
        <v>3</v>
      </c>
      <c r="B4" s="1" t="s">
        <v>59</v>
      </c>
      <c r="C4" s="1"/>
      <c r="D4" s="1"/>
      <c r="E4" s="1"/>
      <c r="F4" s="1"/>
    </row>
    <row r="5" spans="1:6">
      <c r="A5" s="1">
        <v>4</v>
      </c>
      <c r="B5" s="1" t="s">
        <v>60</v>
      </c>
      <c r="C5" s="1"/>
      <c r="D5" s="1"/>
      <c r="E5" s="1"/>
      <c r="F5" s="1"/>
    </row>
    <row r="6" spans="1:6">
      <c r="A6" s="1">
        <v>5</v>
      </c>
      <c r="B6" s="1" t="s">
        <v>61</v>
      </c>
      <c r="C6" s="1"/>
      <c r="D6" s="1"/>
      <c r="E6" s="1"/>
      <c r="F6" s="1"/>
    </row>
    <row r="7" spans="1:6">
      <c r="A7" s="1">
        <v>6</v>
      </c>
      <c r="B7" s="1" t="s">
        <v>62</v>
      </c>
      <c r="C7" s="1"/>
      <c r="D7" s="1" t="s">
        <v>7</v>
      </c>
      <c r="E7" s="1"/>
      <c r="F7" s="1"/>
    </row>
    <row r="8" spans="1:6">
      <c r="A8" s="1">
        <v>7</v>
      </c>
      <c r="B8" s="1" t="s">
        <v>63</v>
      </c>
      <c r="C8" s="1"/>
      <c r="D8" s="1" t="s">
        <v>7</v>
      </c>
      <c r="E8" s="1"/>
      <c r="F8" s="1"/>
    </row>
    <row r="9" spans="1:6">
      <c r="A9" s="1">
        <v>8</v>
      </c>
      <c r="B9" s="1" t="s">
        <v>64</v>
      </c>
      <c r="C9" s="1"/>
      <c r="D9" s="1" t="s">
        <v>7</v>
      </c>
      <c r="E9" s="1"/>
      <c r="F9" s="1"/>
    </row>
    <row r="10" spans="1:6">
      <c r="A10" s="1">
        <v>9</v>
      </c>
      <c r="B10" s="1" t="s">
        <v>65</v>
      </c>
      <c r="C10" s="1"/>
      <c r="D10" s="1" t="s">
        <v>7</v>
      </c>
      <c r="E10" s="1"/>
      <c r="F10" s="1"/>
    </row>
    <row r="11" spans="1:6">
      <c r="A11" s="1">
        <v>10</v>
      </c>
      <c r="B11" s="1" t="s">
        <v>66</v>
      </c>
      <c r="C11" s="1"/>
      <c r="D11" s="1" t="s">
        <v>7</v>
      </c>
      <c r="E11" s="1"/>
      <c r="F11" s="1"/>
    </row>
    <row r="12" spans="1:6">
      <c r="A12" s="1">
        <v>11</v>
      </c>
      <c r="B12" s="1" t="s">
        <v>67</v>
      </c>
      <c r="C12" s="1"/>
      <c r="D12" s="1" t="s">
        <v>7</v>
      </c>
      <c r="E12" s="1"/>
      <c r="F12" s="1"/>
    </row>
    <row r="13" spans="1:6">
      <c r="A13" s="1">
        <v>12</v>
      </c>
      <c r="B13" s="1" t="s">
        <v>68</v>
      </c>
      <c r="C13" s="1"/>
      <c r="D13" s="1" t="s">
        <v>7</v>
      </c>
      <c r="E13" s="1"/>
      <c r="F13" s="1"/>
    </row>
    <row r="14" spans="1:6">
      <c r="A14" s="1">
        <v>13</v>
      </c>
      <c r="B14" s="1" t="s">
        <v>69</v>
      </c>
      <c r="C14" s="1"/>
      <c r="D14" s="1" t="s">
        <v>7</v>
      </c>
      <c r="E14" s="1"/>
      <c r="F14" s="1"/>
    </row>
    <row r="15" spans="1:6">
      <c r="A15" s="1">
        <v>14</v>
      </c>
      <c r="B15" s="1" t="s">
        <v>70</v>
      </c>
      <c r="C15" s="1"/>
      <c r="D15" s="1" t="s">
        <v>7</v>
      </c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01684506616B4AA25ACEAB11E18AF3" ma:contentTypeVersion="11" ma:contentTypeDescription="Create a new document." ma:contentTypeScope="" ma:versionID="597525ad70e0a0f43a376c2ea30524fe">
  <xsd:schema xmlns:xsd="http://www.w3.org/2001/XMLSchema" xmlns:xs="http://www.w3.org/2001/XMLSchema" xmlns:p="http://schemas.microsoft.com/office/2006/metadata/properties" xmlns:ns2="33059d93-2309-41ed-9b34-ca808a9b9e01" xmlns:ns3="f16b3a5c-980b-46e3-b815-254754dadcaf" targetNamespace="http://schemas.microsoft.com/office/2006/metadata/properties" ma:root="true" ma:fieldsID="8dd4f92f54a6369ae601a3417159086b" ns2:_="" ns3:_="">
    <xsd:import namespace="33059d93-2309-41ed-9b34-ca808a9b9e01"/>
    <xsd:import namespace="f16b3a5c-980b-46e3-b815-254754dad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59d93-2309-41ed-9b34-ca808a9b9e0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b1f2941a-98a3-4c0a-b0e5-dcebad1f39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6b3a5c-980b-46e3-b815-254754dadca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c41669ef-df6c-4b27-bee4-ea814f0aefc9}" ma:internalName="TaxCatchAll" ma:showField="CatchAllData" ma:web="f16b3a5c-980b-46e3-b815-254754dad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059d93-2309-41ed-9b34-ca808a9b9e01">
      <Terms xmlns="http://schemas.microsoft.com/office/infopath/2007/PartnerControls"/>
    </lcf76f155ced4ddcb4097134ff3c332f>
    <TaxCatchAll xmlns="f16b3a5c-980b-46e3-b815-254754dadc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0800FC9-5F5A-4412-A7EE-4B3F7F9A7983}"/>
</file>

<file path=customXml/itemProps2.xml><?xml version="1.0" encoding="utf-8"?>
<ds:datastoreItem xmlns:ds="http://schemas.openxmlformats.org/officeDocument/2006/customXml" ds:itemID="{1FD65A13-ACB0-4EAB-BCBD-A1F00B113E5E}"/>
</file>

<file path=customXml/itemProps3.xml><?xml version="1.0" encoding="utf-8"?>
<ds:datastoreItem xmlns:ds="http://schemas.openxmlformats.org/officeDocument/2006/customXml" ds:itemID="{3D48F99E-A383-480C-8E6F-94A1C109D5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Vinay Agrawal</cp:lastModifiedBy>
  <cp:revision/>
  <dcterms:created xsi:type="dcterms:W3CDTF">2026-03-16T13:38:39Z</dcterms:created>
  <dcterms:modified xsi:type="dcterms:W3CDTF">2026-03-24T17:06:09Z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0x0101001601684506616B4AA25ACEAB11E18AF3</vt:lpwstr>
  </property>
</Properties>
</file>