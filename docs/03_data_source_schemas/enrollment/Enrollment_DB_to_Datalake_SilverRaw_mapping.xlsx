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2-Design/"/>
    </mc:Choice>
  </mc:AlternateContent>
  <xr:revisionPtr revIDLastSave="558" documentId="8_{7F2E7D5E-EBAD-491F-B137-23D1155255A7}" xr6:coauthVersionLast="47" xr6:coauthVersionMax="47" xr10:uidLastSave="{9F4EADBD-E277-4723-BC72-253B2F954875}"/>
  <bookViews>
    <workbookView xWindow="-108" yWindow="-108" windowWidth="23256" windowHeight="12456" firstSheet="2" activeTab="2" xr2:uid="{9A207E4C-E995-45E1-A75E-69F368EEC224}"/>
  </bookViews>
  <sheets>
    <sheet name="Non ACO Enrollment" sheetId="1" r:id="rId1"/>
    <sheet name="CinqACO Reach Enrollment" sheetId="2" r:id="rId2"/>
    <sheet name="Cinq MSSP Enroll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52" i="3" l="1"/>
  <c r="R47" i="3"/>
  <c r="AD34" i="2"/>
  <c r="AD31" i="2"/>
  <c r="AD30" i="2"/>
  <c r="AD29" i="2"/>
  <c r="AD28" i="2"/>
  <c r="AD22" i="2"/>
  <c r="AD21" i="2"/>
  <c r="AD20" i="2"/>
  <c r="AD10" i="2"/>
  <c r="AD16" i="2"/>
  <c r="AD17" i="2"/>
  <c r="AD18" i="2"/>
  <c r="AD15" i="2"/>
  <c r="AD14" i="2"/>
  <c r="AD13" i="2"/>
  <c r="AD12" i="2"/>
  <c r="AD11" i="2"/>
  <c r="AD9" i="2"/>
  <c r="AD8" i="2"/>
  <c r="AD7" i="2"/>
  <c r="AD6" i="2"/>
  <c r="AD5" i="2"/>
  <c r="AA22" i="2"/>
  <c r="AA10" i="2"/>
  <c r="AA11" i="2"/>
  <c r="AA12" i="2"/>
  <c r="AA13" i="2"/>
  <c r="AA14" i="2"/>
  <c r="AA15" i="2"/>
  <c r="AA16" i="2"/>
  <c r="AA17" i="2"/>
  <c r="AA18" i="2"/>
  <c r="AA19" i="2"/>
  <c r="AA9" i="2"/>
  <c r="AA8" i="2"/>
  <c r="AA7" i="2"/>
  <c r="AA6" i="2"/>
  <c r="AA5" i="2"/>
  <c r="X26" i="2"/>
  <c r="X23" i="2"/>
  <c r="X22" i="2"/>
  <c r="X21" i="2"/>
  <c r="X20" i="2"/>
  <c r="X12" i="2"/>
  <c r="X11" i="2"/>
  <c r="X10" i="2"/>
  <c r="X9" i="2"/>
  <c r="X8" i="2"/>
  <c r="X7" i="2"/>
  <c r="X6" i="2"/>
  <c r="X5" i="2"/>
  <c r="U19" i="2"/>
  <c r="U16" i="2"/>
  <c r="U15" i="2"/>
  <c r="U14" i="2"/>
  <c r="U13" i="2"/>
  <c r="U12" i="2"/>
  <c r="U11" i="2"/>
  <c r="U10" i="2"/>
  <c r="U9" i="2"/>
  <c r="U8" i="2"/>
  <c r="U7" i="2"/>
  <c r="U6" i="2"/>
  <c r="R50" i="2"/>
  <c r="R45" i="2"/>
  <c r="R44" i="2"/>
  <c r="R35" i="2"/>
  <c r="R16" i="2"/>
  <c r="R30" i="2"/>
  <c r="R29" i="2"/>
  <c r="R26" i="2"/>
  <c r="R25" i="2"/>
  <c r="R13" i="2"/>
  <c r="R12" i="2"/>
  <c r="R7" i="2"/>
  <c r="I22" i="2"/>
  <c r="I16" i="2"/>
  <c r="I15" i="2"/>
  <c r="I14" i="2"/>
  <c r="I10" i="2"/>
  <c r="I9" i="2"/>
  <c r="I8" i="2"/>
  <c r="I7" i="2"/>
  <c r="I6" i="2"/>
  <c r="F19" i="2"/>
  <c r="F12" i="2"/>
  <c r="F11" i="2"/>
  <c r="F10" i="2"/>
  <c r="F6" i="2"/>
  <c r="F7" i="2"/>
  <c r="F5" i="2"/>
  <c r="F25" i="1"/>
  <c r="F24" i="1"/>
  <c r="F23" i="1"/>
  <c r="F22" i="1"/>
</calcChain>
</file>

<file path=xl/sharedStrings.xml><?xml version="1.0" encoding="utf-8"?>
<sst xmlns="http://schemas.openxmlformats.org/spreadsheetml/2006/main" count="1931" uniqueCount="681">
  <si>
    <t>Members Enterprise Table</t>
  </si>
  <si>
    <t>Datalake table</t>
  </si>
  <si>
    <t>Table Name</t>
  </si>
  <si>
    <t>Field Name</t>
  </si>
  <si>
    <t>cinq.dbo.Members</t>
  </si>
  <si>
    <t>values</t>
  </si>
  <si>
    <t>cinqdev.silverraw_enrollment.members</t>
  </si>
  <si>
    <t>cinq.dbo.Members_Addresses</t>
  </si>
  <si>
    <t>cinqdev.silverraw_enrollment.members_addresses</t>
  </si>
  <si>
    <t>cinq.dbo.Members_Emails</t>
  </si>
  <si>
    <t>cinqdev.silverraw_enrollment.members_emails</t>
  </si>
  <si>
    <t>cinq.dbo.Members_Phones</t>
  </si>
  <si>
    <t>cinqdev.silverraw_enrollment.members_phones</t>
  </si>
  <si>
    <t>cinq.dbo.Members_EnrollmentSegments</t>
  </si>
  <si>
    <t>cinqdev.silverraw_enrollment.members_enrollment_segments</t>
  </si>
  <si>
    <t>cinq.dbo.Members_RiskScore</t>
  </si>
  <si>
    <t>cinqdev.silverraw_enrollment.member_risk</t>
  </si>
  <si>
    <t>OurID</t>
  </si>
  <si>
    <t>source_system_id</t>
  </si>
  <si>
    <t>Members_SystemIDs</t>
  </si>
  <si>
    <t>SystemIDNumber</t>
  </si>
  <si>
    <t>ID</t>
  </si>
  <si>
    <t>address_type</t>
  </si>
  <si>
    <t>Members_Addresses</t>
  </si>
  <si>
    <t>AddressType</t>
  </si>
  <si>
    <t>email_type</t>
  </si>
  <si>
    <t>Members_Emails</t>
  </si>
  <si>
    <t>EmailType</t>
  </si>
  <si>
    <t>phone_type</t>
  </si>
  <si>
    <t>Members_Phones</t>
  </si>
  <si>
    <t>PhoneType</t>
  </si>
  <si>
    <t>member_plan</t>
  </si>
  <si>
    <t>Members_EnrollmentSegments</t>
  </si>
  <si>
    <t>MemberGroupDetails</t>
  </si>
  <si>
    <t>riskscore_source</t>
  </si>
  <si>
    <t>Member_RiskScore</t>
  </si>
  <si>
    <t>Risk_Source</t>
  </si>
  <si>
    <t>Profile_ID</t>
  </si>
  <si>
    <t>NULL</t>
  </si>
  <si>
    <t>first_name</t>
  </si>
  <si>
    <t>Members</t>
  </si>
  <si>
    <t>First_Name</t>
  </si>
  <si>
    <t>address1</t>
  </si>
  <si>
    <t>Address1</t>
  </si>
  <si>
    <t>phone_number</t>
  </si>
  <si>
    <t>PhoneNumber</t>
  </si>
  <si>
    <t>member_payor</t>
  </si>
  <si>
    <t>MemberGroupDetails2</t>
  </si>
  <si>
    <t>riskscore_filedate</t>
  </si>
  <si>
    <t>Profile_Source</t>
  </si>
  <si>
    <t>last_name</t>
  </si>
  <si>
    <t>Last_Name</t>
  </si>
  <si>
    <t>Verato</t>
  </si>
  <si>
    <t>address2</t>
  </si>
  <si>
    <t>Address2</t>
  </si>
  <si>
    <t>FIDELIS</t>
  </si>
  <si>
    <t>email_address</t>
  </si>
  <si>
    <t>EmailAddress</t>
  </si>
  <si>
    <t>country_code</t>
  </si>
  <si>
    <t>"+1"</t>
  </si>
  <si>
    <t>MemberGroup</t>
  </si>
  <si>
    <t>Menelas, Christina</t>
  </si>
  <si>
    <t>insurance_id</t>
  </si>
  <si>
    <t>Members_Insurances</t>
  </si>
  <si>
    <t>InsuranceID</t>
  </si>
  <si>
    <t>EntryDate</t>
  </si>
  <si>
    <t>riskscore_yrmo</t>
  </si>
  <si>
    <t>JENNIFER</t>
  </si>
  <si>
    <t>middle_name</t>
  </si>
  <si>
    <t>Middle_Name</t>
  </si>
  <si>
    <t>182 N MAIN ST</t>
  </si>
  <si>
    <t>city</t>
  </si>
  <si>
    <t>City</t>
  </si>
  <si>
    <t>BOO2MARIANN@YAHOO.COM</t>
  </si>
  <si>
    <t>can_contact</t>
  </si>
  <si>
    <t>StartDate</t>
  </si>
  <si>
    <t>add_reason</t>
  </si>
  <si>
    <t>EntryID</t>
  </si>
  <si>
    <t>riskscore_raw</t>
  </si>
  <si>
    <t>RiskScore</t>
  </si>
  <si>
    <t>MEDINA</t>
  </si>
  <si>
    <t>suffix</t>
  </si>
  <si>
    <t>Suffix</t>
  </si>
  <si>
    <t>state</t>
  </si>
  <si>
    <t>State</t>
  </si>
  <si>
    <t>is_active</t>
  </si>
  <si>
    <t>EndDate</t>
  </si>
  <si>
    <t>control_number</t>
  </si>
  <si>
    <t>Control_Number</t>
  </si>
  <si>
    <t>RiskType</t>
  </si>
  <si>
    <t>HCC</t>
  </si>
  <si>
    <t>riskscore_norm</t>
  </si>
  <si>
    <t>date_of_birth</t>
  </si>
  <si>
    <t>Date_of_Birth</t>
  </si>
  <si>
    <t>SPRING VALLEY</t>
  </si>
  <si>
    <t>zip</t>
  </si>
  <si>
    <t>Zip</t>
  </si>
  <si>
    <t>TermDate</t>
  </si>
  <si>
    <t>record_hash</t>
  </si>
  <si>
    <t>TANF Adult</t>
  </si>
  <si>
    <t>control_number_pbp</t>
  </si>
  <si>
    <t>Control_Number_PBP</t>
  </si>
  <si>
    <t>county_name</t>
  </si>
  <si>
    <t>gender</t>
  </si>
  <si>
    <t>Sex</t>
  </si>
  <si>
    <t>NY</t>
  </si>
  <si>
    <t>region</t>
  </si>
  <si>
    <t>CanContact</t>
  </si>
  <si>
    <t>feed_name</t>
  </si>
  <si>
    <t>lob</t>
  </si>
  <si>
    <t>LoB</t>
  </si>
  <si>
    <t>RiskCalculation</t>
  </si>
  <si>
    <t>benchmark_year</t>
  </si>
  <si>
    <t>CurChart</t>
  </si>
  <si>
    <t>race</t>
  </si>
  <si>
    <t>Race</t>
  </si>
  <si>
    <t>SubmittedBy</t>
  </si>
  <si>
    <t>source_system</t>
  </si>
  <si>
    <t>SystemIDType</t>
  </si>
  <si>
    <t>Add_Reason</t>
  </si>
  <si>
    <t>enrollment_start_date</t>
  </si>
  <si>
    <t>RiskDescription</t>
  </si>
  <si>
    <t>benchmark_type</t>
  </si>
  <si>
    <t>ethnicity</t>
  </si>
  <si>
    <t>Ethnicity</t>
  </si>
  <si>
    <t>county</t>
  </si>
  <si>
    <t>County</t>
  </si>
  <si>
    <t>Old_OurID</t>
  </si>
  <si>
    <t>created_by</t>
  </si>
  <si>
    <t>Use</t>
  </si>
  <si>
    <t>Home</t>
  </si>
  <si>
    <t>Term_Reason</t>
  </si>
  <si>
    <t>enrollment_end_date</t>
  </si>
  <si>
    <t>Normalized_Risk_Percentage</t>
  </si>
  <si>
    <t>benchmark_period</t>
  </si>
  <si>
    <t>F</t>
  </si>
  <si>
    <t>language</t>
  </si>
  <si>
    <t>Language</t>
  </si>
  <si>
    <t>county_ssa</t>
  </si>
  <si>
    <t>County_SSA</t>
  </si>
  <si>
    <t>created_at</t>
  </si>
  <si>
    <t>TIN</t>
  </si>
  <si>
    <t>UHC MD</t>
  </si>
  <si>
    <t>county_rate</t>
  </si>
  <si>
    <t>Not Available/Not Provided</t>
  </si>
  <si>
    <t>location</t>
  </si>
  <si>
    <t>county_fips</t>
  </si>
  <si>
    <t>County_FIPS</t>
  </si>
  <si>
    <t>updated_by</t>
  </si>
  <si>
    <t>Rate_Code</t>
  </si>
  <si>
    <t>county_rate_fallback_flag</t>
  </si>
  <si>
    <t>care_management_program</t>
  </si>
  <si>
    <t>CMPChart</t>
  </si>
  <si>
    <t>zip4</t>
  </si>
  <si>
    <t>Zip4</t>
  </si>
  <si>
    <t>updated_at</t>
  </si>
  <si>
    <t>Rate_Group</t>
  </si>
  <si>
    <t>bmark_mmo</t>
  </si>
  <si>
    <t>Spanish</t>
  </si>
  <si>
    <t>last_contact</t>
  </si>
  <si>
    <t>Last_Contact</t>
  </si>
  <si>
    <t>is_zip4</t>
  </si>
  <si>
    <t>Is_Zip4</t>
  </si>
  <si>
    <t>batch_id</t>
  </si>
  <si>
    <t>PCP_Name</t>
  </si>
  <si>
    <t>Butler, Dayle M.</t>
  </si>
  <si>
    <t>Location</t>
  </si>
  <si>
    <t>dual_status_code</t>
  </si>
  <si>
    <t>Dual_Status_Code</t>
  </si>
  <si>
    <t>PCP_NPI</t>
  </si>
  <si>
    <t>PCP</t>
  </si>
  <si>
    <t>death_date</t>
  </si>
  <si>
    <t>Death_Date</t>
  </si>
  <si>
    <t>Pay_To_Name</t>
  </si>
  <si>
    <t>PHQ2_Score</t>
  </si>
  <si>
    <t>record_creation_date</t>
  </si>
  <si>
    <t>Pay_To_Address</t>
  </si>
  <si>
    <t>Record_Creation_Date</t>
  </si>
  <si>
    <t>secure_id</t>
  </si>
  <si>
    <t>Pay_To_Zip</t>
  </si>
  <si>
    <t>Acuity_Score</t>
  </si>
  <si>
    <t>dnc</t>
  </si>
  <si>
    <t>DNC</t>
  </si>
  <si>
    <t>Pay_To_TaxID</t>
  </si>
  <si>
    <t>Risk_Score</t>
  </si>
  <si>
    <t>guardian_first_name</t>
  </si>
  <si>
    <t>Members_Guardian</t>
  </si>
  <si>
    <t>Medicaid</t>
  </si>
  <si>
    <t>OutpatientRank</t>
  </si>
  <si>
    <t>guardian_last_name</t>
  </si>
  <si>
    <t>Service_Location</t>
  </si>
  <si>
    <t>cinqdev.silverraw_enrollment.member_practice</t>
  </si>
  <si>
    <t>HMLCategory</t>
  </si>
  <si>
    <t>guardian_phone_number</t>
  </si>
  <si>
    <t>Service_Location_Address</t>
  </si>
  <si>
    <t>member_group</t>
  </si>
  <si>
    <t>Memo1</t>
  </si>
  <si>
    <t>guardian_email</t>
  </si>
  <si>
    <t>Service_Location_Phone</t>
  </si>
  <si>
    <t>tin</t>
  </si>
  <si>
    <t>Memo2</t>
  </si>
  <si>
    <t>PCP_Effective_Date</t>
  </si>
  <si>
    <t>ccn</t>
  </si>
  <si>
    <t>Program</t>
  </si>
  <si>
    <t>PCP_Termination_Date</t>
  </si>
  <si>
    <t>ccn_type</t>
  </si>
  <si>
    <t>HasRouteGenie</t>
  </si>
  <si>
    <t>source_system_id_type</t>
  </si>
  <si>
    <t>Plan_Name</t>
  </si>
  <si>
    <t>tin_market</t>
  </si>
  <si>
    <t>Tin_Market</t>
  </si>
  <si>
    <t>tin_submarket</t>
  </si>
  <si>
    <t>Tin_Submarket</t>
  </si>
  <si>
    <t>pay_to_zip</t>
  </si>
  <si>
    <t>Birth_weight</t>
  </si>
  <si>
    <t>Tier</t>
  </si>
  <si>
    <t>DOWNSTATE</t>
  </si>
  <si>
    <t>Metal_Level</t>
  </si>
  <si>
    <t>Exchange_Product</t>
  </si>
  <si>
    <t>AlignedOrgName</t>
  </si>
  <si>
    <t>Csr_Values</t>
  </si>
  <si>
    <t>cinq.dbo.Members_Insurances</t>
  </si>
  <si>
    <t>Group_Size</t>
  </si>
  <si>
    <t>Risk_Score_Date</t>
  </si>
  <si>
    <t>Recertification_Date</t>
  </si>
  <si>
    <t>InsuranceType</t>
  </si>
  <si>
    <t>Rate_Cell</t>
  </si>
  <si>
    <t>InsuranceName</t>
  </si>
  <si>
    <t>Premium_Group_Rate_Code</t>
  </si>
  <si>
    <t>DN43111B</t>
  </si>
  <si>
    <t>Premium_Group_Rate_Description</t>
  </si>
  <si>
    <t>Medicare_Status_Code</t>
  </si>
  <si>
    <t>cinqdev.silverraw_enrollment.member_provider</t>
  </si>
  <si>
    <t>pcp_name</t>
  </si>
  <si>
    <t>pcp_npi</t>
  </si>
  <si>
    <t>Hospice_Enrolled_Date</t>
  </si>
  <si>
    <t>cinq.dbo.Members_SystemIDs</t>
  </si>
  <si>
    <t>Hospice_End_Date</t>
  </si>
  <si>
    <t>Original_Entitlement_Reason</t>
  </si>
  <si>
    <t>Entitlement_Buyin_ind</t>
  </si>
  <si>
    <t>ParticleHealth</t>
  </si>
  <si>
    <t>Part_A_Begin_Date</t>
  </si>
  <si>
    <t>a58137f5-a5f0-4e3a-9ae8-e11a824ea2ca</t>
  </si>
  <si>
    <t>Part_B_Begin_Date</t>
  </si>
  <si>
    <t>RBR_id</t>
  </si>
  <si>
    <t>pcp_id</t>
  </si>
  <si>
    <t>Active_Fidelis</t>
  </si>
  <si>
    <t>Active_Molina</t>
  </si>
  <si>
    <t>Active_CINQ_ACO_Reach</t>
  </si>
  <si>
    <t>Active_Optum</t>
  </si>
  <si>
    <t>Calculated_Risk</t>
  </si>
  <si>
    <t>Active_HealthHome</t>
  </si>
  <si>
    <t>Active_AIP_ACO_Reach</t>
  </si>
  <si>
    <t>Active_CMP</t>
  </si>
  <si>
    <t>Active_Other_HeathHome</t>
  </si>
  <si>
    <t>Active_RxLive</t>
  </si>
  <si>
    <t>Active_Vesta</t>
  </si>
  <si>
    <t>Gender_Identity</t>
  </si>
  <si>
    <t>Pronouns</t>
  </si>
  <si>
    <t>Responsible_Signatory</t>
  </si>
  <si>
    <t>Bad_Record</t>
  </si>
  <si>
    <t>Merged_From</t>
  </si>
  <si>
    <t>Merged_To</t>
  </si>
  <si>
    <t>MergeDate</t>
  </si>
  <si>
    <t>Active_Humana</t>
  </si>
  <si>
    <t>SecureID</t>
  </si>
  <si>
    <t>B0AAC11A-02DA-4E97-B402-F550EE2C4936</t>
  </si>
  <si>
    <t>cinq.dbo.Members_Guardia</t>
  </si>
  <si>
    <t>Relationship_Type</t>
  </si>
  <si>
    <t>Guardian_Name</t>
  </si>
  <si>
    <t>Guardian_Address</t>
  </si>
  <si>
    <t>Guardian_Phone</t>
  </si>
  <si>
    <t>Guardian_Email</t>
  </si>
  <si>
    <t>EnteredBy</t>
  </si>
  <si>
    <t>EnteredDate</t>
  </si>
  <si>
    <t>RelationToPatient</t>
  </si>
  <si>
    <t>Primary Contact</t>
  </si>
  <si>
    <t>UpdateDate</t>
  </si>
  <si>
    <t>ACO Reach Enterprise Table</t>
  </si>
  <si>
    <t>Datalake Table</t>
  </si>
  <si>
    <t>CMS_DCE_D0284.dbo._roster_alignment</t>
  </si>
  <si>
    <t>Values</t>
  </si>
  <si>
    <t>cinqdev.silverraw_enrollment_seeding.members</t>
  </si>
  <si>
    <t>cinqdev.silverraw_enrollment_seeding.members_addresses</t>
  </si>
  <si>
    <t>cinqdev.silverraw_enrollment_seeding.members_emails</t>
  </si>
  <si>
    <t>cinqdev.silverraw_enrollment_seeding.members_enrollment_segments</t>
  </si>
  <si>
    <t>cinqdev.silverraw_enrollment_seeding.member_risk</t>
  </si>
  <si>
    <t>cinqdev.silverraw_enrollment_seeding.member_aco_dualeligibility</t>
  </si>
  <si>
    <t>cinqdev.silverraw_enrollment_seeding.member_aco_palmr</t>
  </si>
  <si>
    <t>cinqdev.silverraw_enrollment_seeding.vw_d0284_algc_member_aco_alignmentflagstatus</t>
  </si>
  <si>
    <t>aco_id</t>
  </si>
  <si>
    <t>D0284</t>
  </si>
  <si>
    <t>_roster_alignment</t>
  </si>
  <si>
    <t>"Primary"</t>
  </si>
  <si>
    <t>"Medicare Only"</t>
  </si>
  <si>
    <t>"ACO REACH"</t>
  </si>
  <si>
    <t>mbi_cclf8_flag</t>
  </si>
  <si>
    <t>aligned_palmr_va_flag</t>
  </si>
  <si>
    <t>cohort_flag</t>
  </si>
  <si>
    <t>filedate</t>
  </si>
  <si>
    <t>"CINQ-ACO-REACH"</t>
  </si>
  <si>
    <t>bene_dual_stus_cd</t>
  </si>
  <si>
    <t>aligned_palmr_va_inpi</t>
  </si>
  <si>
    <t>beneficiary_alignment_effective_start_date</t>
  </si>
  <si>
    <t>yr_latest_filedate_flag</t>
  </si>
  <si>
    <t>bene_dual_stus_cd_desc_short</t>
  </si>
  <si>
    <t>aligned_palmr_va_tin</t>
  </si>
  <si>
    <t>beneficiary_alignment_effective_end_date</t>
  </si>
  <si>
    <t>runout_file_flag</t>
  </si>
  <si>
    <t>R</t>
  </si>
  <si>
    <t>If Y for Claim Based Alignment Indicator then; "Claims-based: Y"
If Y for Voluntary Alignment Type then; "Voluntary: SVA"</t>
  </si>
  <si>
    <t>bene_dual_stus_cd_desc_long</t>
  </si>
  <si>
    <t>aligned_palmr_va_type</t>
  </si>
  <si>
    <t>beneficiary_date_of_death</t>
  </si>
  <si>
    <t>yr_mo</t>
  </si>
  <si>
    <t>2023_01</t>
  </si>
  <si>
    <t>bene_dual_stus_cd_benefit_type</t>
  </si>
  <si>
    <t>aligned_palmr_va_filedate</t>
  </si>
  <si>
    <t>alignment_status</t>
  </si>
  <si>
    <t>yr</t>
  </si>
  <si>
    <t>bene_dual_stus_cd_category</t>
  </si>
  <si>
    <t>aligned_palmr_clm_primarycare_flag</t>
  </si>
  <si>
    <t>mo</t>
  </si>
  <si>
    <t>bene_mdcr_stus_cd</t>
  </si>
  <si>
    <t>aligned_palmr_clm_primarycare_inpi</t>
  </si>
  <si>
    <t>alignment_status_description</t>
  </si>
  <si>
    <t>Q1</t>
  </si>
  <si>
    <t>bene_mdcr_stus</t>
  </si>
  <si>
    <t>aligned_palmr_clm_primarycare_tin</t>
  </si>
  <si>
    <t>alignment_with_death_month</t>
  </si>
  <si>
    <t>Beneficiary MBI ID</t>
  </si>
  <si>
    <t>1AH2M27KW11</t>
  </si>
  <si>
    <t>bene_psn_yrs_dual</t>
  </si>
  <si>
    <t>aligned_palmr_clm_primarycare_paytotal</t>
  </si>
  <si>
    <t>alignment_restatement_flag</t>
  </si>
  <si>
    <t>MBI_original</t>
  </si>
  <si>
    <t>bene_low_inc_subs</t>
  </si>
  <si>
    <t>aligned_palmr_clm_primarycare_filedate</t>
  </si>
  <si>
    <t>beneficiary_eligibility_alignment_year_1</t>
  </si>
  <si>
    <t>MBI_previous</t>
  </si>
  <si>
    <t>bene_psn_yrs_low_inc_dual</t>
  </si>
  <si>
    <t>aligned_palmr_clm_other_flag</t>
  </si>
  <si>
    <t>beneficiary_eligibility_alignment_year_2</t>
  </si>
  <si>
    <t>MBI_previous_end_month</t>
  </si>
  <si>
    <t>bene_person_yrs</t>
  </si>
  <si>
    <t>aligned_palmr_clm_other_inpi</t>
  </si>
  <si>
    <t>beneficiary_part_d_coverage_alignment_year_1</t>
  </si>
  <si>
    <t>Beneficiary Alignment Effective Start Date</t>
  </si>
  <si>
    <t>partd_months</t>
  </si>
  <si>
    <t>aligned_palmr_clm_other_tin</t>
  </si>
  <si>
    <t>beneficiary_part_d_coverage_alignment_year_2</t>
  </si>
  <si>
    <t>Beneficiary Alignment Effective Termination Date</t>
  </si>
  <si>
    <t>"ACO_REACH_D0284"</t>
  </si>
  <si>
    <t>long_term_institutionalized</t>
  </si>
  <si>
    <t>aligned_palmr_clm_other_paytotal</t>
  </si>
  <si>
    <t>newly_aligned_beneficiary_flag</t>
  </si>
  <si>
    <t>Beneficiary Date of Death</t>
  </si>
  <si>
    <t>adi_natrank</t>
  </si>
  <si>
    <t>aligned_palmr_clm_otherfiledate</t>
  </si>
  <si>
    <t>assigned_before</t>
  </si>
  <si>
    <t>Alignment Status</t>
  </si>
  <si>
    <t>AL</t>
  </si>
  <si>
    <t>esrd_flag</t>
  </si>
  <si>
    <t>prospective_plus_alignment</t>
  </si>
  <si>
    <t>Aligned</t>
  </si>
  <si>
    <t>"ACO_REACH_D0284</t>
  </si>
  <si>
    <t>aged_flag</t>
  </si>
  <si>
    <t>claim_based_alignment_indicator</t>
  </si>
  <si>
    <t>disabled_flag</t>
  </si>
  <si>
    <t>voluntary_alignment_type</t>
  </si>
  <si>
    <t>aged_or_disabled_flag</t>
  </si>
  <si>
    <t>voluntary_alignment_status</t>
  </si>
  <si>
    <t>Beneficiary First Name</t>
  </si>
  <si>
    <t xml:space="preserve">DUDLEY                        </t>
  </si>
  <si>
    <t>cinqdev.silverraw_enrollment_seeding.member_practice</t>
  </si>
  <si>
    <t>assignment_type</t>
  </si>
  <si>
    <t>Beneficiary Last Name</t>
  </si>
  <si>
    <t xml:space="preserve">SALMON                                  </t>
  </si>
  <si>
    <t>assignment_type_description</t>
  </si>
  <si>
    <t>Beneficiary Date of Birth</t>
  </si>
  <si>
    <t>enroll_flag</t>
  </si>
  <si>
    <t>Beneficiary Age</t>
  </si>
  <si>
    <t>enrollflag_description</t>
  </si>
  <si>
    <t>Beneficiary Gender</t>
  </si>
  <si>
    <t>M</t>
  </si>
  <si>
    <t>mobility_impairment_indicator</t>
  </si>
  <si>
    <t>Race-Ethnicity</t>
  </si>
  <si>
    <t>frailty_indicator</t>
  </si>
  <si>
    <t>race_ethnicity_description</t>
  </si>
  <si>
    <t>BLACK</t>
  </si>
  <si>
    <t>medium_risk_with_unplanned_admissions_indicator</t>
  </si>
  <si>
    <t>Beneficiary Line 1 Address</t>
  </si>
  <si>
    <t xml:space="preserve">22528 104TH AVE                         </t>
  </si>
  <si>
    <t>high_risk_score_indicator</t>
  </si>
  <si>
    <t>Beneficiary Line 2 Address</t>
  </si>
  <si>
    <t xml:space="preserve">                                        </t>
  </si>
  <si>
    <t>Beneficiary Line 3 Address</t>
  </si>
  <si>
    <t>Beneficiary Line 4 Address</t>
  </si>
  <si>
    <t>Beneficiary Line 5 Address</t>
  </si>
  <si>
    <t>Beneficiary Line 6 Address</t>
  </si>
  <si>
    <t>Beneficiary City</t>
  </si>
  <si>
    <t xml:space="preserve">QUEENS VILLAGE                          </t>
  </si>
  <si>
    <t>Beneficiary USPS State Code</t>
  </si>
  <si>
    <t>Beneficiary Zip 5</t>
  </si>
  <si>
    <t>Beneficiary Zip 4</t>
  </si>
  <si>
    <t>Beneficiary State-County of Residence SSA</t>
  </si>
  <si>
    <t>Beneficiary State-County of Residence FIPS</t>
  </si>
  <si>
    <t>Beneficiary Eligibility Alignment Year 1</t>
  </si>
  <si>
    <t>N</t>
  </si>
  <si>
    <t>cinqdev.silverraw_enrollment_seeding.member_provider</t>
  </si>
  <si>
    <t>Beneficiary Eligibility Alignment Year 2</t>
  </si>
  <si>
    <t>Y</t>
  </si>
  <si>
    <t>Beneficiary Part D Coverage Alignment Year 1</t>
  </si>
  <si>
    <t>Beneficiary Part D Coverage Alignment Year 2</t>
  </si>
  <si>
    <t>Newly Aligned Beneficiary Flag</t>
  </si>
  <si>
    <t>Prospective Plus Alignment</t>
  </si>
  <si>
    <t>Claim Based Alignment Indicator</t>
  </si>
  <si>
    <t>Voluntary Alignment Type</t>
  </si>
  <si>
    <t>No</t>
  </si>
  <si>
    <t>Mobility Impairment Indicator</t>
  </si>
  <si>
    <t>Frailty Indicator</t>
  </si>
  <si>
    <t>Medium Risk with Unplanned Admissions Indicator</t>
  </si>
  <si>
    <t>High Risk Score Indicator</t>
  </si>
  <si>
    <t>CMS</t>
  </si>
  <si>
    <t>riskscore_norm_fallback_flag</t>
  </si>
  <si>
    <t>County Name</t>
  </si>
  <si>
    <t>NY-QUEENS</t>
  </si>
  <si>
    <t>Benchmark Year</t>
  </si>
  <si>
    <t>Benchmark Type</t>
  </si>
  <si>
    <t>A</t>
  </si>
  <si>
    <t>Benchmark Period</t>
  </si>
  <si>
    <t>Prospective</t>
  </si>
  <si>
    <t>County Rate</t>
  </si>
  <si>
    <t>BENE_DUAL_STUS_CD</t>
  </si>
  <si>
    <t>NA</t>
  </si>
  <si>
    <t>BENE_DUAL_STUS_CD_desc_short</t>
  </si>
  <si>
    <t>Non Medicaid</t>
  </si>
  <si>
    <t>BENE_DUAL_STUS_CD_desc_long</t>
  </si>
  <si>
    <t>BENE_DUAL_STUS_CD_benefit_type</t>
  </si>
  <si>
    <t>BENE_DUAL_STUS_CD_category</t>
  </si>
  <si>
    <t>Medicare only</t>
  </si>
  <si>
    <t>BENE_MDCR_STUS_CD</t>
  </si>
  <si>
    <t>BENE_MDCR_STUS</t>
  </si>
  <si>
    <t>Aged without ESRD</t>
  </si>
  <si>
    <t>ESRD_flag</t>
  </si>
  <si>
    <t>active_mgmt_flag</t>
  </si>
  <si>
    <t>active_mgmt_dispo</t>
  </si>
  <si>
    <t>active_mgmt_notes</t>
  </si>
  <si>
    <t>aligned_any_flag</t>
  </si>
  <si>
    <t>aligned_inpi</t>
  </si>
  <si>
    <t>aligned_inpi_name</t>
  </si>
  <si>
    <t>ADEBOLA ORAFIDIYA</t>
  </si>
  <si>
    <t>aligned_npi_start_date</t>
  </si>
  <si>
    <t>aligned_npi_end_date</t>
  </si>
  <si>
    <t>aligned_npi_approval_status</t>
  </si>
  <si>
    <t>Yes</t>
  </si>
  <si>
    <t>aligned_tin</t>
  </si>
  <si>
    <t>aligned_tin_name</t>
  </si>
  <si>
    <t>aligned_tin_market</t>
  </si>
  <si>
    <t>aligned_tin_submarket</t>
  </si>
  <si>
    <t>NY - Downstate</t>
  </si>
  <si>
    <t>aligned_affiliate</t>
  </si>
  <si>
    <t>aligned_org_name</t>
  </si>
  <si>
    <t>aligned_palmr_clm_other_filedate</t>
  </si>
  <si>
    <t>aligned_affiliate_manual_mapping_flag</t>
  </si>
  <si>
    <t>Exclude</t>
  </si>
  <si>
    <t>memb_mo</t>
  </si>
  <si>
    <t>bmark_mmo_new</t>
  </si>
  <si>
    <t>RTA_adjustedbmark</t>
  </si>
  <si>
    <t>cms_mssp.mssp._roster_alignment</t>
  </si>
  <si>
    <t>cinqdev.silverraw_enrollment_seeding.vw_MSSP_algc_member_aco_alignmentflagstatus</t>
  </si>
  <si>
    <t>BENE_MBI_ID</t>
  </si>
  <si>
    <t>8Y65H99UP96</t>
  </si>
  <si>
    <t>BENE_HIC_NUM</t>
  </si>
  <si>
    <t>BENE_1ST_NAME</t>
  </si>
  <si>
    <t>BENE_LINE_1_ADR</t>
  </si>
  <si>
    <t>CINQ MSSP</t>
  </si>
  <si>
    <t>BENE_DUAL_STATUS</t>
  </si>
  <si>
    <t>yr_mo - Member first found on the roster</t>
  </si>
  <si>
    <t>SANDRA</t>
  </si>
  <si>
    <t>BENE_LAST_NAME</t>
  </si>
  <si>
    <t>BENE_LINE_2_ADR</t>
  </si>
  <si>
    <t>YR_MO</t>
  </si>
  <si>
    <t>yr_mo - member last found on the roster but not equal to latest yr_mo</t>
  </si>
  <si>
    <t>TARVER</t>
  </si>
  <si>
    <t>get from first name</t>
  </si>
  <si>
    <t>GEO_ZIP_PLC_NAME</t>
  </si>
  <si>
    <t>BENE_DEATH_DT</t>
  </si>
  <si>
    <t>BENE_SEX_CD</t>
  </si>
  <si>
    <t>Get from first and lastname</t>
  </si>
  <si>
    <t>GEO_USPS_STATE_CD</t>
  </si>
  <si>
    <t>HCC_RISK_SCORE</t>
  </si>
  <si>
    <t>assignment_status</t>
  </si>
  <si>
    <t>BENE_BRTH_DT</t>
  </si>
  <si>
    <t>GEO_ZIP5_CD</t>
  </si>
  <si>
    <t>MEDICARE</t>
  </si>
  <si>
    <t>assignment_status_description</t>
  </si>
  <si>
    <t>A5743</t>
  </si>
  <si>
    <t>RACE_CD_DESCRIPTION</t>
  </si>
  <si>
    <t>Benchmark_Type</t>
  </si>
  <si>
    <t>BENE_PSN_YRS_DUAL</t>
  </si>
  <si>
    <t>GEO_SSA_CNTY_CD_NAME</t>
  </si>
  <si>
    <t>BENE_LOW_INC_SUBS</t>
  </si>
  <si>
    <t>BENE_PSN_YRS_LOW_INC_DUAL</t>
  </si>
  <si>
    <t>2026_03</t>
  </si>
  <si>
    <t>GEO_ZIP4_CD</t>
  </si>
  <si>
    <t>BENE_PERSON_YRS</t>
  </si>
  <si>
    <t>PARTD_MONTHS</t>
  </si>
  <si>
    <t>LONG_TERM_INSTITUTIONALIZED</t>
  </si>
  <si>
    <t>NEW_ENROLLEE</t>
  </si>
  <si>
    <t>ADI_NATRANK</t>
  </si>
  <si>
    <t>ASSIGNED_BEFORE</t>
  </si>
  <si>
    <t>CBA_FLAG</t>
  </si>
  <si>
    <t>VOLUNTARY_ALIGNMENT_STATUS</t>
  </si>
  <si>
    <t>ALEXANDER</t>
  </si>
  <si>
    <t>ASSIGNMENT_TYPE</t>
  </si>
  <si>
    <t>GEO_SSA_STATE_NAME</t>
  </si>
  <si>
    <t>ILLINOIS</t>
  </si>
  <si>
    <t>assigned_tin_name</t>
  </si>
  <si>
    <t>ASSIGNMENT_TYPE_DESCRIPTION</t>
  </si>
  <si>
    <t>STATE_COUNTY_CD</t>
  </si>
  <si>
    <t>assigned_tin</t>
  </si>
  <si>
    <t>Enroll_Flag</t>
  </si>
  <si>
    <t>Not Voluntary Aligned to ACO</t>
  </si>
  <si>
    <t>assigned_ccn</t>
  </si>
  <si>
    <t>EnrollFlag_Description</t>
  </si>
  <si>
    <t>CCN_TYPE</t>
  </si>
  <si>
    <t>assigned_npi</t>
  </si>
  <si>
    <t>assigned_tin_market</t>
  </si>
  <si>
    <t>assigned_tin_submarket</t>
  </si>
  <si>
    <t>COMMUNITY HEALTH &amp; EMERGENCY SERVICES INC</t>
  </si>
  <si>
    <t>assigned_npi_name</t>
  </si>
  <si>
    <t>MAUREEN KLEMME</t>
  </si>
  <si>
    <t>Medicare</t>
  </si>
  <si>
    <t>IL</t>
  </si>
  <si>
    <t>Assigned during Step 1</t>
  </si>
  <si>
    <t>ASG</t>
  </si>
  <si>
    <t>Assigned</t>
  </si>
  <si>
    <t>Aged/Non-dual</t>
  </si>
  <si>
    <t>HCC_version</t>
  </si>
  <si>
    <t>V28</t>
  </si>
  <si>
    <t>HCC_COL_1</t>
  </si>
  <si>
    <t>HCC_COL_2</t>
  </si>
  <si>
    <t>HCC_COL_3</t>
  </si>
  <si>
    <t>HCC_COL_4</t>
  </si>
  <si>
    <t>HCC_COL_5</t>
  </si>
  <si>
    <t>HCC_COL_6</t>
  </si>
  <si>
    <t>HCC_COL_7</t>
  </si>
  <si>
    <t>HCC_COL_8</t>
  </si>
  <si>
    <t>HCC_COL_9</t>
  </si>
  <si>
    <t>HCC_COL_10</t>
  </si>
  <si>
    <t>HCC_COL_11</t>
  </si>
  <si>
    <t>HCC_COL_12</t>
  </si>
  <si>
    <t>HCC_COL_13</t>
  </si>
  <si>
    <t>HCC_COL_14</t>
  </si>
  <si>
    <t>HCC_COL_15</t>
  </si>
  <si>
    <t>HCC_COL_16</t>
  </si>
  <si>
    <t>HCC_COL_17</t>
  </si>
  <si>
    <t>HCC_COL_18</t>
  </si>
  <si>
    <t>HCC_COL_19</t>
  </si>
  <si>
    <t>HCC_COL_20</t>
  </si>
  <si>
    <t>HCC_COL_21</t>
  </si>
  <si>
    <t>HCC_COL_22</t>
  </si>
  <si>
    <t>HCC_COL_23</t>
  </si>
  <si>
    <t>HCC_COL_24</t>
  </si>
  <si>
    <t>HCC_COL_25</t>
  </si>
  <si>
    <t>HCC_COL_26</t>
  </si>
  <si>
    <t>HCC_COL_27</t>
  </si>
  <si>
    <t>HCC_COL_28</t>
  </si>
  <si>
    <t>HCC_COL_29</t>
  </si>
  <si>
    <t>HCC_COL_30</t>
  </si>
  <si>
    <t>HCC_COL_31</t>
  </si>
  <si>
    <t>HCC_COL_32</t>
  </si>
  <si>
    <t>HCC_COL_33</t>
  </si>
  <si>
    <t>HCC_COL_34</t>
  </si>
  <si>
    <t>HCC_COL_35</t>
  </si>
  <si>
    <t>HCC_COL_36</t>
  </si>
  <si>
    <t>HCC_COL_37</t>
  </si>
  <si>
    <t>HCC_COL_38</t>
  </si>
  <si>
    <t>HCC_COL_39</t>
  </si>
  <si>
    <t>HCC_COL_40</t>
  </si>
  <si>
    <t>HCC_COL_41</t>
  </si>
  <si>
    <t>HCC_COL_42</t>
  </si>
  <si>
    <t>HCC_COL_43</t>
  </si>
  <si>
    <t>HCC_COL_44</t>
  </si>
  <si>
    <t>HCC_COL_45</t>
  </si>
  <si>
    <t>HCC_COL_46</t>
  </si>
  <si>
    <t>HCC_COL_47</t>
  </si>
  <si>
    <t>HCC_COL_48</t>
  </si>
  <si>
    <t>HCC_COL_49</t>
  </si>
  <si>
    <t>HCC_COL_50</t>
  </si>
  <si>
    <t>HCC_COL_51</t>
  </si>
  <si>
    <t>HCC_COL_52</t>
  </si>
  <si>
    <t>HCC_COL_53</t>
  </si>
  <si>
    <t>HCC_COL_54</t>
  </si>
  <si>
    <t>HCC_COL_55</t>
  </si>
  <si>
    <t>HCC_COL_56</t>
  </si>
  <si>
    <t>HCC_COL_57</t>
  </si>
  <si>
    <t>HCC_COL_58</t>
  </si>
  <si>
    <t>HCC_COL_59</t>
  </si>
  <si>
    <t>HCC_COL_60</t>
  </si>
  <si>
    <t>HCC_COL_61</t>
  </si>
  <si>
    <t>HCC_COL_62</t>
  </si>
  <si>
    <t>HCC_COL_63</t>
  </si>
  <si>
    <t>HCC_COL_64</t>
  </si>
  <si>
    <t>HCC_COL_65</t>
  </si>
  <si>
    <t>HCC_COL_66</t>
  </si>
  <si>
    <t>HCC_COL_67</t>
  </si>
  <si>
    <t>HCC_COL_68</t>
  </si>
  <si>
    <t>HCC_COL_69</t>
  </si>
  <si>
    <t>HCC_COL_70</t>
  </si>
  <si>
    <t>HCC_COL_71</t>
  </si>
  <si>
    <t>HCC_COL_72</t>
  </si>
  <si>
    <t>HCC_COL_73</t>
  </si>
  <si>
    <t>HCC_COL_74</t>
  </si>
  <si>
    <t>HCC_COL_75</t>
  </si>
  <si>
    <t>HCC_COL_76</t>
  </si>
  <si>
    <t>HCC_COL_77</t>
  </si>
  <si>
    <t>HCC_COL_78</t>
  </si>
  <si>
    <t>HCC_COL_79</t>
  </si>
  <si>
    <t>HCC_COL_80</t>
  </si>
  <si>
    <t>HCC_COL_81</t>
  </si>
  <si>
    <t>HCC_COL_82</t>
  </si>
  <si>
    <t>HCC_COL_83</t>
  </si>
  <si>
    <t>HCC_COL_84</t>
  </si>
  <si>
    <t>HCC_COL_85</t>
  </si>
  <si>
    <t>HCC_COL_86</t>
  </si>
  <si>
    <t>HCC_COL_87</t>
  </si>
  <si>
    <t>HCC_COL_88</t>
  </si>
  <si>
    <t>HCC_COL_89</t>
  </si>
  <si>
    <t>HCC_COL_90</t>
  </si>
  <si>
    <t>HCC_COL_91</t>
  </si>
  <si>
    <t>HCC_COL_92</t>
  </si>
  <si>
    <t>HCC_COL_93</t>
  </si>
  <si>
    <t>HCC_COL_94</t>
  </si>
  <si>
    <t>HCC_COL_95</t>
  </si>
  <si>
    <t>HCC_COL_96</t>
  </si>
  <si>
    <t>HCC_COL_97</t>
  </si>
  <si>
    <t>HCC_COL_98</t>
  </si>
  <si>
    <t>HCC_COL_99</t>
  </si>
  <si>
    <t>HCC_COL_100</t>
  </si>
  <si>
    <t>HCC_COL_101</t>
  </si>
  <si>
    <t>HCC_COL_102</t>
  </si>
  <si>
    <t>HCC_COL_103</t>
  </si>
  <si>
    <t>HCC_COL_104</t>
  </si>
  <si>
    <t>HCC_COL_105</t>
  </si>
  <si>
    <t>HCC_COL_106</t>
  </si>
  <si>
    <t>HCC_COL_107</t>
  </si>
  <si>
    <t>HCC_COL_108</t>
  </si>
  <si>
    <t>HCC_COL_109</t>
  </si>
  <si>
    <t>HCC_COL_110</t>
  </si>
  <si>
    <t>HCC_COL_111</t>
  </si>
  <si>
    <t>HCC_COL_112</t>
  </si>
  <si>
    <t>HCC_COL_113</t>
  </si>
  <si>
    <t>HCC_COL_114</t>
  </si>
  <si>
    <t>HCC_COL_115</t>
  </si>
  <si>
    <t>HCC_COL_116</t>
  </si>
  <si>
    <t>HCC_COL_117</t>
  </si>
  <si>
    <t>HCC_COL_118</t>
  </si>
  <si>
    <t>HCC_COL_119</t>
  </si>
  <si>
    <t>HCC_COL_120</t>
  </si>
  <si>
    <t>HCC_RISK_SCORE_RENORM</t>
  </si>
  <si>
    <t>ESRD_SCORE</t>
  </si>
  <si>
    <t>DIS_SCORE</t>
  </si>
  <si>
    <t>AGDU_SCORE</t>
  </si>
  <si>
    <t>AGND_SCORE</t>
  </si>
  <si>
    <t>DEM_ESRD_SCORE</t>
  </si>
  <si>
    <t>DEM_DIS_SCORE</t>
  </si>
  <si>
    <t>DEM_AGDU_SCORE</t>
  </si>
  <si>
    <t>DEM_AGND_SCORE</t>
  </si>
  <si>
    <t>BENE_RACE_CD</t>
  </si>
  <si>
    <t>Black</t>
  </si>
  <si>
    <t>Federally Qualified Health Center</t>
  </si>
  <si>
    <t>2903 PARK PL W</t>
  </si>
  <si>
    <t>BENE_LINE_3_ADR</t>
  </si>
  <si>
    <t>BENE_LINE_4_ADR</t>
  </si>
  <si>
    <t>BENE_LINE_5_ADR</t>
  </si>
  <si>
    <t>BENE_LINE_6_ADR</t>
  </si>
  <si>
    <t>CAIRO</t>
  </si>
  <si>
    <t>HCC_RISK_SCORE_MNTH</t>
  </si>
  <si>
    <t>PERFORMANCE_YEAR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</si>
</sst>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47" fontId="0" fillId="0" borderId="0" xfId="0" applyNumberFormat="1"/>
    <xf numFmtId="0" fontId="2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47" fontId="0" fillId="2" borderId="1" xfId="0" applyNumberFormat="1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47" fontId="0" fillId="3" borderId="1" xfId="0" applyNumberForma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47" fontId="0" fillId="4" borderId="1" xfId="0" applyNumberForma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2" fillId="4" borderId="2" xfId="0" applyFont="1" applyFill="1" applyBorder="1"/>
    <xf numFmtId="0" fontId="0" fillId="4" borderId="2" xfId="0" applyFill="1" applyBorder="1"/>
    <xf numFmtId="47" fontId="0" fillId="5" borderId="1" xfId="0" applyNumberFormat="1" applyFill="1" applyBorder="1"/>
    <xf numFmtId="0" fontId="2" fillId="5" borderId="2" xfId="0" applyFont="1" applyFill="1" applyBorder="1"/>
    <xf numFmtId="0" fontId="0" fillId="5" borderId="2" xfId="0" applyFill="1" applyBorder="1"/>
    <xf numFmtId="0" fontId="2" fillId="6" borderId="1" xfId="0" applyFont="1" applyFill="1" applyBorder="1"/>
    <xf numFmtId="0" fontId="1" fillId="6" borderId="1" xfId="0" applyFont="1" applyFill="1" applyBorder="1"/>
    <xf numFmtId="0" fontId="0" fillId="6" borderId="1" xfId="0" applyFill="1" applyBorder="1"/>
    <xf numFmtId="47" fontId="0" fillId="6" borderId="1" xfId="0" applyNumberFormat="1" applyFill="1" applyBorder="1"/>
    <xf numFmtId="0" fontId="2" fillId="7" borderId="1" xfId="0" applyFont="1" applyFill="1" applyBorder="1"/>
    <xf numFmtId="0" fontId="1" fillId="7" borderId="1" xfId="0" applyFont="1" applyFill="1" applyBorder="1"/>
    <xf numFmtId="0" fontId="0" fillId="7" borderId="1" xfId="0" applyFill="1" applyBorder="1"/>
    <xf numFmtId="47" fontId="0" fillId="7" borderId="1" xfId="0" applyNumberFormat="1" applyFill="1" applyBorder="1"/>
    <xf numFmtId="0" fontId="1" fillId="2" borderId="3" xfId="0" applyFont="1" applyFill="1" applyBorder="1"/>
    <xf numFmtId="0" fontId="0" fillId="2" borderId="3" xfId="0" applyFill="1" applyBorder="1"/>
    <xf numFmtId="14" fontId="0" fillId="0" borderId="0" xfId="0" applyNumberFormat="1"/>
    <xf numFmtId="0" fontId="1" fillId="0" borderId="3" xfId="0" applyFont="1" applyBorder="1"/>
    <xf numFmtId="0" fontId="0" fillId="0" borderId="3" xfId="0" applyBorder="1"/>
    <xf numFmtId="14" fontId="0" fillId="0" borderId="3" xfId="0" applyNumberFormat="1" applyBorder="1"/>
    <xf numFmtId="0" fontId="2" fillId="7" borderId="2" xfId="0" applyFont="1" applyFill="1" applyBorder="1"/>
    <xf numFmtId="0" fontId="0" fillId="7" borderId="2" xfId="0" applyFill="1" applyBorder="1"/>
    <xf numFmtId="0" fontId="2" fillId="8" borderId="1" xfId="0" applyFont="1" applyFill="1" applyBorder="1"/>
    <xf numFmtId="0" fontId="0" fillId="8" borderId="1" xfId="0" applyFill="1" applyBorder="1"/>
    <xf numFmtId="0" fontId="2" fillId="9" borderId="1" xfId="0" applyFont="1" applyFill="1" applyBorder="1"/>
    <xf numFmtId="0" fontId="0" fillId="9" borderId="1" xfId="0" applyFill="1" applyBorder="1"/>
    <xf numFmtId="0" fontId="2" fillId="10" borderId="1" xfId="0" applyFont="1" applyFill="1" applyBorder="1"/>
    <xf numFmtId="0" fontId="2" fillId="9" borderId="2" xfId="0" applyFont="1" applyFill="1" applyBorder="1"/>
    <xf numFmtId="0" fontId="0" fillId="9" borderId="2" xfId="0" applyFill="1" applyBorder="1"/>
    <xf numFmtId="0" fontId="0" fillId="10" borderId="1" xfId="0" applyFill="1" applyBorder="1"/>
    <xf numFmtId="14" fontId="0" fillId="10" borderId="1" xfId="0" applyNumberFormat="1" applyFill="1" applyBorder="1"/>
    <xf numFmtId="0" fontId="0" fillId="6" borderId="1" xfId="0" applyFill="1" applyBorder="1" applyAlignment="1">
      <alignment wrapText="1"/>
    </xf>
    <xf numFmtId="0" fontId="0" fillId="10" borderId="6" xfId="0" applyFill="1" applyBorder="1"/>
    <xf numFmtId="0" fontId="2" fillId="2" borderId="5" xfId="0" applyFont="1" applyFill="1" applyBorder="1"/>
    <xf numFmtId="0" fontId="0" fillId="2" borderId="5" xfId="0" applyFill="1" applyBorder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7" borderId="6" xfId="0" applyFill="1" applyBorder="1"/>
    <xf numFmtId="0" fontId="0" fillId="6" borderId="0" xfId="0" applyFill="1"/>
    <xf numFmtId="0" fontId="1" fillId="6" borderId="2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1" fillId="7" borderId="2" xfId="0" applyFont="1" applyFill="1" applyBorder="1"/>
    <xf numFmtId="0" fontId="1" fillId="7" borderId="4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9" borderId="2" xfId="0" applyFont="1" applyFill="1" applyBorder="1"/>
    <xf numFmtId="0" fontId="1" fillId="10" borderId="1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4" borderId="2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5" borderId="2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328E-1538-4387-8BEC-A276C75EF589}">
  <dimension ref="B2:AE89"/>
  <sheetViews>
    <sheetView topLeftCell="B1" workbookViewId="0">
      <selection activeCell="G34" sqref="G34"/>
    </sheetView>
  </sheetViews>
  <sheetFormatPr defaultRowHeight="14.4" x14ac:dyDescent="0.3"/>
  <cols>
    <col min="1" max="1" width="0" hidden="1" customWidth="1"/>
    <col min="2" max="2" width="31.6640625" bestFit="1" customWidth="1"/>
    <col min="3" max="3" width="38.33203125" customWidth="1"/>
    <col min="4" max="4" width="48.33203125" bestFit="1" customWidth="1"/>
    <col min="5" max="5" width="19.33203125" bestFit="1" customWidth="1"/>
    <col min="6" max="6" width="16.88671875" bestFit="1" customWidth="1"/>
    <col min="7" max="7" width="28.6640625" bestFit="1" customWidth="1"/>
    <col min="8" max="8" width="14.109375" customWidth="1"/>
    <col min="9" max="9" width="48.33203125" bestFit="1" customWidth="1"/>
    <col min="10" max="10" width="19.44140625" bestFit="1" customWidth="1"/>
    <col min="11" max="11" width="16.33203125" bestFit="1" customWidth="1"/>
    <col min="12" max="12" width="25.109375" bestFit="1" customWidth="1"/>
    <col min="13" max="13" width="27.6640625" customWidth="1"/>
    <col min="14" max="14" width="44.88671875" bestFit="1" customWidth="1"/>
    <col min="15" max="15" width="19.33203125" bestFit="1" customWidth="1"/>
    <col min="16" max="16" width="16.33203125" bestFit="1" customWidth="1"/>
    <col min="17" max="17" width="25.109375" bestFit="1" customWidth="1"/>
    <col min="18" max="18" width="11" customWidth="1"/>
    <col min="19" max="19" width="44.88671875" bestFit="1" customWidth="1"/>
    <col min="20" max="20" width="19.33203125" bestFit="1" customWidth="1"/>
    <col min="21" max="21" width="16.33203125" bestFit="1" customWidth="1"/>
    <col min="22" max="22" width="38.6640625" bestFit="1" customWidth="1"/>
    <col min="23" max="23" width="17.6640625" customWidth="1"/>
    <col min="24" max="24" width="59.109375" bestFit="1" customWidth="1"/>
    <col min="25" max="25" width="28.5546875" bestFit="1" customWidth="1"/>
    <col min="26" max="26" width="21" bestFit="1" customWidth="1"/>
    <col min="27" max="27" width="28.33203125" bestFit="1" customWidth="1"/>
    <col min="28" max="28" width="8.88671875" customWidth="1"/>
    <col min="29" max="29" width="41" bestFit="1" customWidth="1"/>
    <col min="30" max="30" width="19.33203125" bestFit="1" customWidth="1"/>
    <col min="31" max="31" width="16.33203125" bestFit="1" customWidth="1"/>
  </cols>
  <sheetData>
    <row r="2" spans="2:31" x14ac:dyDescent="0.3">
      <c r="B2" s="2" t="s">
        <v>0</v>
      </c>
      <c r="C2" s="2"/>
      <c r="D2" s="2" t="s">
        <v>1</v>
      </c>
      <c r="E2" s="2" t="s">
        <v>2</v>
      </c>
      <c r="F2" s="2" t="s">
        <v>3</v>
      </c>
      <c r="G2" s="6" t="s">
        <v>0</v>
      </c>
      <c r="H2" s="6"/>
      <c r="I2" s="6" t="s">
        <v>1</v>
      </c>
      <c r="J2" s="6" t="s">
        <v>2</v>
      </c>
      <c r="K2" s="6" t="s">
        <v>3</v>
      </c>
      <c r="L2" s="10" t="s">
        <v>0</v>
      </c>
      <c r="M2" s="10"/>
      <c r="N2" s="10" t="s">
        <v>1</v>
      </c>
      <c r="O2" s="10" t="s">
        <v>2</v>
      </c>
      <c r="P2" s="17" t="s">
        <v>3</v>
      </c>
      <c r="Q2" s="14" t="s">
        <v>0</v>
      </c>
      <c r="R2" s="14"/>
      <c r="S2" s="14" t="s">
        <v>1</v>
      </c>
      <c r="T2" s="14" t="s">
        <v>2</v>
      </c>
      <c r="U2" s="20" t="s">
        <v>3</v>
      </c>
      <c r="V2" s="22" t="s">
        <v>0</v>
      </c>
      <c r="W2" s="22"/>
      <c r="X2" s="22" t="s">
        <v>1</v>
      </c>
      <c r="Y2" s="22" t="s">
        <v>2</v>
      </c>
      <c r="Z2" s="22" t="s">
        <v>3</v>
      </c>
      <c r="AA2" s="26" t="s">
        <v>0</v>
      </c>
      <c r="AB2" s="26"/>
      <c r="AC2" s="26" t="s">
        <v>1</v>
      </c>
      <c r="AD2" s="26" t="s">
        <v>2</v>
      </c>
      <c r="AE2" s="26" t="s">
        <v>3</v>
      </c>
    </row>
    <row r="3" spans="2:31" x14ac:dyDescent="0.3">
      <c r="B3" s="3" t="s">
        <v>4</v>
      </c>
      <c r="C3" s="3" t="s">
        <v>5</v>
      </c>
      <c r="D3" s="3" t="s">
        <v>6</v>
      </c>
      <c r="E3" s="4"/>
      <c r="F3" s="4"/>
      <c r="G3" s="8" t="s">
        <v>7</v>
      </c>
      <c r="H3" s="8" t="s">
        <v>5</v>
      </c>
      <c r="I3" s="8" t="s">
        <v>8</v>
      </c>
      <c r="J3" s="7"/>
      <c r="K3" s="7"/>
      <c r="L3" s="11" t="s">
        <v>9</v>
      </c>
      <c r="M3" s="11" t="s">
        <v>5</v>
      </c>
      <c r="N3" s="11" t="s">
        <v>10</v>
      </c>
      <c r="O3" s="12"/>
      <c r="P3" s="18"/>
      <c r="Q3" s="15" t="s">
        <v>11</v>
      </c>
      <c r="R3" s="15" t="s">
        <v>5</v>
      </c>
      <c r="S3" s="15" t="s">
        <v>12</v>
      </c>
      <c r="T3" s="16"/>
      <c r="U3" s="21"/>
      <c r="V3" s="23" t="s">
        <v>13</v>
      </c>
      <c r="W3" s="23" t="s">
        <v>5</v>
      </c>
      <c r="X3" s="23" t="s">
        <v>14</v>
      </c>
      <c r="Y3" s="24"/>
      <c r="Z3" s="24"/>
      <c r="AA3" s="27" t="s">
        <v>15</v>
      </c>
      <c r="AB3" s="27" t="s">
        <v>5</v>
      </c>
      <c r="AC3" s="27" t="s">
        <v>16</v>
      </c>
      <c r="AD3" s="28"/>
      <c r="AE3" s="28"/>
    </row>
    <row r="4" spans="2:31" x14ac:dyDescent="0.3">
      <c r="B4" s="4" t="s">
        <v>17</v>
      </c>
      <c r="C4" s="4">
        <v>938719</v>
      </c>
      <c r="D4" s="4" t="s">
        <v>18</v>
      </c>
      <c r="E4" s="4" t="s">
        <v>19</v>
      </c>
      <c r="F4" s="4" t="s">
        <v>20</v>
      </c>
      <c r="G4" s="7" t="s">
        <v>21</v>
      </c>
      <c r="H4" s="7">
        <v>846285</v>
      </c>
      <c r="I4" s="7" t="s">
        <v>22</v>
      </c>
      <c r="J4" s="7" t="s">
        <v>23</v>
      </c>
      <c r="K4" s="7" t="s">
        <v>24</v>
      </c>
      <c r="L4" s="12" t="s">
        <v>21</v>
      </c>
      <c r="M4" s="12">
        <v>205884</v>
      </c>
      <c r="N4" s="12" t="s">
        <v>25</v>
      </c>
      <c r="O4" s="13" t="s">
        <v>26</v>
      </c>
      <c r="P4" s="18" t="s">
        <v>27</v>
      </c>
      <c r="Q4" s="16" t="s">
        <v>21</v>
      </c>
      <c r="R4" s="16">
        <v>920094</v>
      </c>
      <c r="S4" s="16" t="s">
        <v>28</v>
      </c>
      <c r="T4" s="16" t="s">
        <v>29</v>
      </c>
      <c r="U4" s="21" t="s">
        <v>30</v>
      </c>
      <c r="V4" s="24" t="s">
        <v>21</v>
      </c>
      <c r="W4" s="24">
        <v>13841980</v>
      </c>
      <c r="X4" s="24" t="s">
        <v>31</v>
      </c>
      <c r="Y4" s="24" t="s">
        <v>32</v>
      </c>
      <c r="Z4" s="24" t="s">
        <v>33</v>
      </c>
      <c r="AA4" s="28" t="s">
        <v>21</v>
      </c>
      <c r="AB4" s="28">
        <v>7193427</v>
      </c>
      <c r="AC4" s="28" t="s">
        <v>34</v>
      </c>
      <c r="AD4" s="28" t="s">
        <v>35</v>
      </c>
      <c r="AE4" s="28" t="s">
        <v>36</v>
      </c>
    </row>
    <row r="5" spans="2:31" x14ac:dyDescent="0.3"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7" t="s">
        <v>17</v>
      </c>
      <c r="H5" s="7">
        <v>938719</v>
      </c>
      <c r="I5" s="7" t="s">
        <v>42</v>
      </c>
      <c r="J5" s="7" t="s">
        <v>23</v>
      </c>
      <c r="K5" s="7" t="s">
        <v>43</v>
      </c>
      <c r="L5" s="12" t="s">
        <v>17</v>
      </c>
      <c r="M5" s="12">
        <v>938718</v>
      </c>
      <c r="N5" s="12" t="s">
        <v>18</v>
      </c>
      <c r="O5" s="12" t="s">
        <v>19</v>
      </c>
      <c r="P5" s="12" t="s">
        <v>20</v>
      </c>
      <c r="Q5" s="16" t="s">
        <v>17</v>
      </c>
      <c r="R5" s="16">
        <v>938719</v>
      </c>
      <c r="S5" s="16" t="s">
        <v>44</v>
      </c>
      <c r="T5" s="16" t="s">
        <v>29</v>
      </c>
      <c r="U5" s="21" t="s">
        <v>45</v>
      </c>
      <c r="V5" s="24" t="s">
        <v>17</v>
      </c>
      <c r="W5" s="24">
        <v>938719</v>
      </c>
      <c r="X5" s="24" t="s">
        <v>46</v>
      </c>
      <c r="Y5" s="24" t="s">
        <v>32</v>
      </c>
      <c r="Z5" s="24" t="s">
        <v>47</v>
      </c>
      <c r="AA5" s="28" t="s">
        <v>17</v>
      </c>
      <c r="AB5" s="28">
        <v>936946</v>
      </c>
      <c r="AC5" s="28" t="s">
        <v>48</v>
      </c>
      <c r="AD5" s="28"/>
      <c r="AE5" s="28"/>
    </row>
    <row r="6" spans="2:31" x14ac:dyDescent="0.3">
      <c r="B6" s="4" t="s">
        <v>49</v>
      </c>
      <c r="C6" s="4" t="s">
        <v>38</v>
      </c>
      <c r="D6" s="4" t="s">
        <v>50</v>
      </c>
      <c r="E6" s="4" t="s">
        <v>40</v>
      </c>
      <c r="F6" s="4" t="s">
        <v>51</v>
      </c>
      <c r="G6" s="7" t="s">
        <v>24</v>
      </c>
      <c r="H6" s="7" t="s">
        <v>52</v>
      </c>
      <c r="I6" s="7" t="s">
        <v>53</v>
      </c>
      <c r="J6" s="7" t="s">
        <v>23</v>
      </c>
      <c r="K6" s="7" t="s">
        <v>54</v>
      </c>
      <c r="L6" s="12" t="s">
        <v>27</v>
      </c>
      <c r="M6" s="12" t="s">
        <v>55</v>
      </c>
      <c r="N6" s="12" t="s">
        <v>56</v>
      </c>
      <c r="O6" s="13" t="s">
        <v>26</v>
      </c>
      <c r="P6" s="18" t="s">
        <v>57</v>
      </c>
      <c r="Q6" s="16" t="s">
        <v>30</v>
      </c>
      <c r="R6" s="16" t="s">
        <v>55</v>
      </c>
      <c r="S6" s="16" t="s">
        <v>58</v>
      </c>
      <c r="T6" s="16"/>
      <c r="U6" s="21" t="s">
        <v>59</v>
      </c>
      <c r="V6" s="24" t="s">
        <v>60</v>
      </c>
      <c r="W6" s="24" t="s">
        <v>61</v>
      </c>
      <c r="X6" s="24" t="s">
        <v>62</v>
      </c>
      <c r="Y6" s="24" t="s">
        <v>63</v>
      </c>
      <c r="Z6" s="24" t="s">
        <v>64</v>
      </c>
      <c r="AA6" s="28" t="s">
        <v>65</v>
      </c>
      <c r="AB6" s="29">
        <v>46234</v>
      </c>
      <c r="AC6" s="28" t="s">
        <v>66</v>
      </c>
      <c r="AD6" s="28"/>
      <c r="AE6" s="28"/>
    </row>
    <row r="7" spans="2:31" x14ac:dyDescent="0.3">
      <c r="B7" s="4" t="s">
        <v>41</v>
      </c>
      <c r="C7" s="4" t="s">
        <v>67</v>
      </c>
      <c r="D7" s="4" t="s">
        <v>68</v>
      </c>
      <c r="E7" s="4" t="s">
        <v>40</v>
      </c>
      <c r="F7" s="4" t="s">
        <v>69</v>
      </c>
      <c r="G7" s="7" t="s">
        <v>43</v>
      </c>
      <c r="H7" s="7" t="s">
        <v>70</v>
      </c>
      <c r="I7" s="7" t="s">
        <v>71</v>
      </c>
      <c r="J7" s="7" t="s">
        <v>23</v>
      </c>
      <c r="K7" s="7" t="s">
        <v>72</v>
      </c>
      <c r="L7" s="12" t="s">
        <v>57</v>
      </c>
      <c r="M7" s="12" t="s">
        <v>73</v>
      </c>
      <c r="N7" s="12" t="s">
        <v>74</v>
      </c>
      <c r="O7" s="12"/>
      <c r="P7" s="18"/>
      <c r="Q7" s="16" t="s">
        <v>45</v>
      </c>
      <c r="R7" s="16">
        <v>8459963319</v>
      </c>
      <c r="S7" s="16" t="s">
        <v>74</v>
      </c>
      <c r="T7" s="16"/>
      <c r="U7" s="21"/>
      <c r="V7" s="24" t="s">
        <v>75</v>
      </c>
      <c r="W7" s="25">
        <v>46204</v>
      </c>
      <c r="X7" s="24" t="s">
        <v>76</v>
      </c>
      <c r="Y7" s="24"/>
      <c r="Z7" s="24"/>
      <c r="AA7" s="28" t="s">
        <v>77</v>
      </c>
      <c r="AB7" s="28">
        <v>1145</v>
      </c>
      <c r="AC7" s="28" t="s">
        <v>78</v>
      </c>
      <c r="AD7" s="28" t="s">
        <v>35</v>
      </c>
      <c r="AE7" s="28" t="s">
        <v>79</v>
      </c>
    </row>
    <row r="8" spans="2:31" x14ac:dyDescent="0.3">
      <c r="B8" s="4" t="s">
        <v>51</v>
      </c>
      <c r="C8" s="4" t="s">
        <v>80</v>
      </c>
      <c r="D8" s="4" t="s">
        <v>81</v>
      </c>
      <c r="E8" s="4" t="s">
        <v>40</v>
      </c>
      <c r="F8" s="4" t="s">
        <v>82</v>
      </c>
      <c r="G8" s="7" t="s">
        <v>54</v>
      </c>
      <c r="H8" s="7" t="s">
        <v>38</v>
      </c>
      <c r="I8" s="7" t="s">
        <v>83</v>
      </c>
      <c r="J8" s="7" t="s">
        <v>23</v>
      </c>
      <c r="K8" s="7" t="s">
        <v>84</v>
      </c>
      <c r="L8" s="12" t="s">
        <v>65</v>
      </c>
      <c r="M8" s="13">
        <v>46213.711410960648</v>
      </c>
      <c r="N8" s="12" t="s">
        <v>85</v>
      </c>
      <c r="O8" s="12"/>
      <c r="P8" s="18"/>
      <c r="Q8" s="16" t="s">
        <v>65</v>
      </c>
      <c r="R8" s="19">
        <v>46213.71141423611</v>
      </c>
      <c r="S8" s="16" t="s">
        <v>85</v>
      </c>
      <c r="T8" s="16"/>
      <c r="U8" s="21"/>
      <c r="V8" s="24" t="s">
        <v>86</v>
      </c>
      <c r="W8" s="24" t="s">
        <v>38</v>
      </c>
      <c r="X8" s="24" t="s">
        <v>87</v>
      </c>
      <c r="Y8" s="24" t="s">
        <v>32</v>
      </c>
      <c r="Z8" s="24" t="s">
        <v>88</v>
      </c>
      <c r="AA8" s="28" t="s">
        <v>89</v>
      </c>
      <c r="AB8" s="28" t="s">
        <v>90</v>
      </c>
      <c r="AC8" s="28" t="s">
        <v>91</v>
      </c>
      <c r="AD8" s="28"/>
      <c r="AE8" s="28"/>
    </row>
    <row r="9" spans="2:31" x14ac:dyDescent="0.3">
      <c r="B9" s="4" t="s">
        <v>69</v>
      </c>
      <c r="C9" s="4"/>
      <c r="D9" s="4" t="s">
        <v>92</v>
      </c>
      <c r="E9" s="4" t="s">
        <v>40</v>
      </c>
      <c r="F9" s="4" t="s">
        <v>93</v>
      </c>
      <c r="G9" s="7" t="s">
        <v>72</v>
      </c>
      <c r="H9" s="7" t="s">
        <v>94</v>
      </c>
      <c r="I9" s="7" t="s">
        <v>95</v>
      </c>
      <c r="J9" s="7" t="s">
        <v>23</v>
      </c>
      <c r="K9" s="7" t="s">
        <v>96</v>
      </c>
      <c r="L9" s="12" t="s">
        <v>97</v>
      </c>
      <c r="M9" s="12" t="s">
        <v>38</v>
      </c>
      <c r="N9" s="12" t="s">
        <v>98</v>
      </c>
      <c r="O9" s="12"/>
      <c r="P9" s="18"/>
      <c r="Q9" s="16" t="s">
        <v>97</v>
      </c>
      <c r="R9" s="16" t="s">
        <v>38</v>
      </c>
      <c r="S9" s="16" t="s">
        <v>98</v>
      </c>
      <c r="T9" s="16"/>
      <c r="U9" s="21"/>
      <c r="V9" s="24" t="s">
        <v>33</v>
      </c>
      <c r="W9" s="24" t="s">
        <v>99</v>
      </c>
      <c r="X9" s="24" t="s">
        <v>100</v>
      </c>
      <c r="Y9" s="24" t="s">
        <v>32</v>
      </c>
      <c r="Z9" s="24" t="s">
        <v>101</v>
      </c>
      <c r="AA9" s="28" t="s">
        <v>79</v>
      </c>
      <c r="AB9" s="28">
        <v>1.0862000000000001</v>
      </c>
      <c r="AC9" s="28" t="s">
        <v>102</v>
      </c>
      <c r="AD9" s="28"/>
      <c r="AE9" s="28"/>
    </row>
    <row r="10" spans="2:31" x14ac:dyDescent="0.3">
      <c r="B10" s="4" t="s">
        <v>82</v>
      </c>
      <c r="C10" s="4"/>
      <c r="D10" s="4" t="s">
        <v>103</v>
      </c>
      <c r="E10" s="4" t="s">
        <v>40</v>
      </c>
      <c r="F10" s="4" t="s">
        <v>104</v>
      </c>
      <c r="G10" s="7" t="s">
        <v>84</v>
      </c>
      <c r="H10" s="7" t="s">
        <v>105</v>
      </c>
      <c r="I10" s="7" t="s">
        <v>106</v>
      </c>
      <c r="J10" s="7"/>
      <c r="K10" s="7"/>
      <c r="L10" s="12" t="s">
        <v>107</v>
      </c>
      <c r="M10" s="12">
        <v>1</v>
      </c>
      <c r="N10" s="12" t="s">
        <v>108</v>
      </c>
      <c r="O10" s="12"/>
      <c r="P10" s="18"/>
      <c r="Q10" s="16" t="s">
        <v>107</v>
      </c>
      <c r="R10" s="16">
        <v>1</v>
      </c>
      <c r="S10" s="16" t="s">
        <v>18</v>
      </c>
      <c r="T10" s="16" t="s">
        <v>19</v>
      </c>
      <c r="U10" s="21" t="s">
        <v>20</v>
      </c>
      <c r="V10" s="24" t="s">
        <v>47</v>
      </c>
      <c r="W10" s="24" t="s">
        <v>55</v>
      </c>
      <c r="X10" s="24" t="s">
        <v>109</v>
      </c>
      <c r="Y10" s="24" t="s">
        <v>32</v>
      </c>
      <c r="Z10" s="24" t="s">
        <v>110</v>
      </c>
      <c r="AA10" s="28" t="s">
        <v>111</v>
      </c>
      <c r="AB10" s="28"/>
      <c r="AC10" s="28" t="s">
        <v>112</v>
      </c>
      <c r="AD10" s="28"/>
      <c r="AE10" s="28"/>
    </row>
    <row r="11" spans="2:31" x14ac:dyDescent="0.3">
      <c r="B11" s="4" t="s">
        <v>113</v>
      </c>
      <c r="C11" s="4" t="s">
        <v>38</v>
      </c>
      <c r="D11" s="4" t="s">
        <v>114</v>
      </c>
      <c r="E11" s="4" t="s">
        <v>40</v>
      </c>
      <c r="F11" s="4" t="s">
        <v>115</v>
      </c>
      <c r="G11" s="7" t="s">
        <v>96</v>
      </c>
      <c r="H11" s="7">
        <v>10977</v>
      </c>
      <c r="I11" s="7" t="s">
        <v>74</v>
      </c>
      <c r="J11" s="7"/>
      <c r="K11" s="7"/>
      <c r="L11" s="12" t="s">
        <v>116</v>
      </c>
      <c r="M11" s="12">
        <v>1145</v>
      </c>
      <c r="N11" s="12" t="s">
        <v>117</v>
      </c>
      <c r="O11" s="12" t="s">
        <v>19</v>
      </c>
      <c r="P11" s="12" t="s">
        <v>118</v>
      </c>
      <c r="Q11" s="16" t="s">
        <v>116</v>
      </c>
      <c r="R11" s="16">
        <v>1145</v>
      </c>
      <c r="S11" s="16" t="s">
        <v>108</v>
      </c>
      <c r="T11" s="16"/>
      <c r="U11" s="21"/>
      <c r="V11" s="24" t="s">
        <v>119</v>
      </c>
      <c r="W11" s="24"/>
      <c r="X11" s="24" t="s">
        <v>120</v>
      </c>
      <c r="Y11" s="24" t="s">
        <v>32</v>
      </c>
      <c r="Z11" s="24" t="s">
        <v>75</v>
      </c>
      <c r="AA11" s="28" t="s">
        <v>121</v>
      </c>
      <c r="AB11" s="28"/>
      <c r="AC11" s="28" t="s">
        <v>122</v>
      </c>
      <c r="AD11" s="28" t="s">
        <v>35</v>
      </c>
      <c r="AE11" s="28" t="s">
        <v>89</v>
      </c>
    </row>
    <row r="12" spans="2:31" x14ac:dyDescent="0.3">
      <c r="B12" s="4" t="s">
        <v>93</v>
      </c>
      <c r="C12" s="5">
        <v>37773</v>
      </c>
      <c r="D12" s="4" t="s">
        <v>123</v>
      </c>
      <c r="E12" s="4" t="s">
        <v>40</v>
      </c>
      <c r="F12" s="4" t="s">
        <v>124</v>
      </c>
      <c r="G12" s="7" t="s">
        <v>65</v>
      </c>
      <c r="H12" s="9">
        <v>46213.711414201389</v>
      </c>
      <c r="I12" s="7" t="s">
        <v>125</v>
      </c>
      <c r="J12" s="7" t="s">
        <v>23</v>
      </c>
      <c r="K12" s="7" t="s">
        <v>126</v>
      </c>
      <c r="L12" s="12" t="s">
        <v>127</v>
      </c>
      <c r="M12" s="12" t="s">
        <v>38</v>
      </c>
      <c r="N12" s="12" t="s">
        <v>128</v>
      </c>
      <c r="O12" s="12"/>
      <c r="P12" s="18"/>
      <c r="Q12" s="16" t="s">
        <v>129</v>
      </c>
      <c r="R12" s="16" t="s">
        <v>130</v>
      </c>
      <c r="S12" s="16" t="s">
        <v>117</v>
      </c>
      <c r="T12" s="16" t="s">
        <v>19</v>
      </c>
      <c r="U12" s="21" t="s">
        <v>118</v>
      </c>
      <c r="V12" s="24" t="s">
        <v>131</v>
      </c>
      <c r="W12" s="24" t="s">
        <v>38</v>
      </c>
      <c r="X12" s="24" t="s">
        <v>132</v>
      </c>
      <c r="Y12" s="24" t="s">
        <v>32</v>
      </c>
      <c r="Z12" s="24" t="s">
        <v>86</v>
      </c>
      <c r="AA12" s="28" t="s">
        <v>133</v>
      </c>
      <c r="AB12" s="28" t="s">
        <v>38</v>
      </c>
      <c r="AC12" s="28" t="s">
        <v>134</v>
      </c>
      <c r="AD12" s="28"/>
      <c r="AE12" s="28"/>
    </row>
    <row r="13" spans="2:31" x14ac:dyDescent="0.3">
      <c r="B13" s="4" t="s">
        <v>104</v>
      </c>
      <c r="C13" s="4" t="s">
        <v>135</v>
      </c>
      <c r="D13" s="4" t="s">
        <v>136</v>
      </c>
      <c r="E13" s="4" t="s">
        <v>40</v>
      </c>
      <c r="F13" s="4" t="s">
        <v>137</v>
      </c>
      <c r="G13" s="7" t="s">
        <v>97</v>
      </c>
      <c r="H13" s="7" t="s">
        <v>38</v>
      </c>
      <c r="I13" s="7" t="s">
        <v>138</v>
      </c>
      <c r="J13" s="7" t="s">
        <v>23</v>
      </c>
      <c r="K13" s="7" t="s">
        <v>139</v>
      </c>
      <c r="L13" s="12"/>
      <c r="M13" s="12"/>
      <c r="N13" s="12" t="s">
        <v>140</v>
      </c>
      <c r="O13" s="12"/>
      <c r="P13" s="18"/>
      <c r="Q13" s="16" t="s">
        <v>127</v>
      </c>
      <c r="R13" s="16" t="s">
        <v>38</v>
      </c>
      <c r="S13" s="16" t="s">
        <v>128</v>
      </c>
      <c r="T13" s="16"/>
      <c r="U13" s="21"/>
      <c r="V13" s="24" t="s">
        <v>141</v>
      </c>
      <c r="W13" s="24">
        <v>821016078</v>
      </c>
      <c r="X13" s="24" t="s">
        <v>85</v>
      </c>
      <c r="Y13" s="24"/>
      <c r="Z13" s="24"/>
      <c r="AA13" s="28" t="s">
        <v>36</v>
      </c>
      <c r="AB13" s="28" t="s">
        <v>142</v>
      </c>
      <c r="AC13" s="28" t="s">
        <v>143</v>
      </c>
      <c r="AD13" s="28"/>
      <c r="AE13" s="28"/>
    </row>
    <row r="14" spans="2:31" x14ac:dyDescent="0.3">
      <c r="B14" s="4" t="s">
        <v>115</v>
      </c>
      <c r="C14" s="4" t="s">
        <v>144</v>
      </c>
      <c r="D14" s="4" t="s">
        <v>145</v>
      </c>
      <c r="E14" s="4" t="s">
        <v>40</v>
      </c>
      <c r="F14" s="4"/>
      <c r="G14" s="7" t="s">
        <v>107</v>
      </c>
      <c r="H14" s="7">
        <v>1</v>
      </c>
      <c r="I14" s="7" t="s">
        <v>146</v>
      </c>
      <c r="J14" s="7" t="s">
        <v>23</v>
      </c>
      <c r="K14" s="7" t="s">
        <v>147</v>
      </c>
      <c r="L14" s="12"/>
      <c r="M14" s="12"/>
      <c r="N14" s="12" t="s">
        <v>148</v>
      </c>
      <c r="O14" s="12"/>
      <c r="P14" s="18"/>
      <c r="Q14" s="16"/>
      <c r="R14" s="16"/>
      <c r="S14" s="16" t="s">
        <v>140</v>
      </c>
      <c r="T14" s="16"/>
      <c r="U14" s="21"/>
      <c r="V14" s="24" t="s">
        <v>149</v>
      </c>
      <c r="W14" s="24"/>
      <c r="X14" s="24" t="s">
        <v>98</v>
      </c>
      <c r="Y14" s="24"/>
      <c r="Z14" s="24"/>
      <c r="AA14" s="28" t="s">
        <v>127</v>
      </c>
      <c r="AB14" s="28" t="s">
        <v>38</v>
      </c>
      <c r="AC14" s="28" t="s">
        <v>150</v>
      </c>
      <c r="AD14" s="28"/>
      <c r="AE14" s="28"/>
    </row>
    <row r="15" spans="2:31" x14ac:dyDescent="0.3">
      <c r="B15" s="4" t="s">
        <v>124</v>
      </c>
      <c r="C15" s="4"/>
      <c r="D15" s="4" t="s">
        <v>151</v>
      </c>
      <c r="E15" s="4" t="s">
        <v>40</v>
      </c>
      <c r="F15" s="4" t="s">
        <v>152</v>
      </c>
      <c r="G15" s="7" t="s">
        <v>116</v>
      </c>
      <c r="H15" s="7">
        <v>1145</v>
      </c>
      <c r="I15" s="7" t="s">
        <v>153</v>
      </c>
      <c r="J15" s="7" t="s">
        <v>23</v>
      </c>
      <c r="K15" s="7" t="s">
        <v>154</v>
      </c>
      <c r="L15" s="12"/>
      <c r="M15" s="12"/>
      <c r="N15" s="12" t="s">
        <v>155</v>
      </c>
      <c r="O15" s="12"/>
      <c r="P15" s="18"/>
      <c r="Q15" s="16"/>
      <c r="R15" s="16"/>
      <c r="S15" s="16" t="s">
        <v>148</v>
      </c>
      <c r="T15" s="16"/>
      <c r="U15" s="21"/>
      <c r="V15" s="24" t="s">
        <v>156</v>
      </c>
      <c r="W15" s="24"/>
      <c r="X15" s="24" t="s">
        <v>18</v>
      </c>
      <c r="Y15" s="24" t="s">
        <v>19</v>
      </c>
      <c r="Z15" s="24" t="s">
        <v>20</v>
      </c>
      <c r="AA15" s="28"/>
      <c r="AB15" s="28"/>
      <c r="AC15" s="28" t="s">
        <v>157</v>
      </c>
      <c r="AD15" s="28"/>
      <c r="AE15" s="28"/>
    </row>
    <row r="16" spans="2:31" x14ac:dyDescent="0.3">
      <c r="B16" s="4" t="s">
        <v>137</v>
      </c>
      <c r="C16" s="4" t="s">
        <v>158</v>
      </c>
      <c r="D16" s="4" t="s">
        <v>159</v>
      </c>
      <c r="E16" s="4" t="s">
        <v>40</v>
      </c>
      <c r="F16" s="4" t="s">
        <v>160</v>
      </c>
      <c r="G16" s="7" t="s">
        <v>126</v>
      </c>
      <c r="H16" s="7"/>
      <c r="I16" s="7" t="s">
        <v>161</v>
      </c>
      <c r="J16" s="7" t="s">
        <v>23</v>
      </c>
      <c r="K16" s="7" t="s">
        <v>162</v>
      </c>
      <c r="L16" s="12"/>
      <c r="M16" s="12"/>
      <c r="N16" s="12" t="s">
        <v>163</v>
      </c>
      <c r="O16" s="12"/>
      <c r="P16" s="18"/>
      <c r="Q16" s="16"/>
      <c r="R16" s="16"/>
      <c r="S16" s="16" t="s">
        <v>155</v>
      </c>
      <c r="T16" s="16"/>
      <c r="U16" s="21"/>
      <c r="V16" s="24" t="s">
        <v>164</v>
      </c>
      <c r="W16" s="24" t="s">
        <v>165</v>
      </c>
      <c r="X16" s="24" t="s">
        <v>108</v>
      </c>
      <c r="Y16" s="24"/>
      <c r="Z16" s="24"/>
      <c r="AA16" s="28"/>
      <c r="AB16" s="28"/>
      <c r="AC16" s="28" t="s">
        <v>85</v>
      </c>
      <c r="AD16" s="28"/>
      <c r="AE16" s="28"/>
    </row>
    <row r="17" spans="2:31" x14ac:dyDescent="0.3">
      <c r="B17" s="4" t="s">
        <v>166</v>
      </c>
      <c r="C17" s="4" t="s">
        <v>61</v>
      </c>
      <c r="D17" s="4" t="s">
        <v>167</v>
      </c>
      <c r="E17" s="4" t="s">
        <v>40</v>
      </c>
      <c r="F17" s="4" t="s">
        <v>168</v>
      </c>
      <c r="G17" s="7" t="s">
        <v>139</v>
      </c>
      <c r="H17" s="7" t="s">
        <v>38</v>
      </c>
      <c r="I17" s="7" t="s">
        <v>85</v>
      </c>
      <c r="J17" s="7"/>
      <c r="K17" s="7"/>
      <c r="Q17" s="16"/>
      <c r="R17" s="16"/>
      <c r="S17" s="16" t="s">
        <v>163</v>
      </c>
      <c r="T17" s="16"/>
      <c r="U17" s="21"/>
      <c r="V17" s="24" t="s">
        <v>169</v>
      </c>
      <c r="W17" s="24">
        <v>1053445916</v>
      </c>
      <c r="X17" s="24" t="s">
        <v>117</v>
      </c>
      <c r="Y17" s="24" t="s">
        <v>19</v>
      </c>
      <c r="Z17" s="24" t="s">
        <v>118</v>
      </c>
      <c r="AA17" s="28"/>
      <c r="AB17" s="28"/>
      <c r="AC17" s="28" t="s">
        <v>98</v>
      </c>
      <c r="AD17" s="28"/>
      <c r="AE17" s="28"/>
    </row>
    <row r="18" spans="2:31" x14ac:dyDescent="0.3">
      <c r="B18" s="4" t="s">
        <v>170</v>
      </c>
      <c r="C18" s="4" t="s">
        <v>165</v>
      </c>
      <c r="D18" s="4" t="s">
        <v>171</v>
      </c>
      <c r="E18" s="4" t="s">
        <v>40</v>
      </c>
      <c r="F18" s="4" t="s">
        <v>172</v>
      </c>
      <c r="G18" s="7" t="s">
        <v>147</v>
      </c>
      <c r="H18" s="7" t="s">
        <v>38</v>
      </c>
      <c r="I18" s="7" t="s">
        <v>98</v>
      </c>
      <c r="J18" s="7"/>
      <c r="K18" s="7"/>
      <c r="V18" s="24" t="s">
        <v>173</v>
      </c>
      <c r="W18" s="24" t="s">
        <v>61</v>
      </c>
      <c r="X18" s="24" t="s">
        <v>128</v>
      </c>
      <c r="Y18" s="24"/>
      <c r="Z18" s="24"/>
      <c r="AA18" s="28"/>
      <c r="AB18" s="28"/>
      <c r="AC18" s="28" t="s">
        <v>18</v>
      </c>
      <c r="AD18" s="28" t="s">
        <v>19</v>
      </c>
      <c r="AE18" s="28" t="s">
        <v>20</v>
      </c>
    </row>
    <row r="19" spans="2:31" x14ac:dyDescent="0.3">
      <c r="B19" s="4" t="s">
        <v>174</v>
      </c>
      <c r="C19" s="4" t="s">
        <v>38</v>
      </c>
      <c r="D19" s="4" t="s">
        <v>175</v>
      </c>
      <c r="E19" s="4"/>
      <c r="F19" s="4"/>
      <c r="G19" s="7" t="s">
        <v>127</v>
      </c>
      <c r="H19" s="7" t="s">
        <v>38</v>
      </c>
      <c r="I19" s="7" t="s">
        <v>18</v>
      </c>
      <c r="J19" s="7" t="s">
        <v>19</v>
      </c>
      <c r="K19" s="7" t="s">
        <v>20</v>
      </c>
      <c r="V19" s="24" t="s">
        <v>176</v>
      </c>
      <c r="W19" s="24" t="s">
        <v>38</v>
      </c>
      <c r="X19" s="24" t="s">
        <v>140</v>
      </c>
      <c r="Y19" s="24"/>
      <c r="Z19" s="24"/>
      <c r="AA19" s="28"/>
      <c r="AB19" s="28"/>
      <c r="AC19" s="28" t="s">
        <v>108</v>
      </c>
      <c r="AD19" s="28"/>
      <c r="AE19" s="28"/>
    </row>
    <row r="20" spans="2:31" x14ac:dyDescent="0.3">
      <c r="B20" s="4" t="s">
        <v>177</v>
      </c>
      <c r="C20" s="5">
        <v>46213.711413391204</v>
      </c>
      <c r="D20" s="4" t="s">
        <v>178</v>
      </c>
      <c r="E20" s="4"/>
      <c r="F20" s="4"/>
      <c r="G20" s="7" t="s">
        <v>154</v>
      </c>
      <c r="H20" s="7" t="s">
        <v>38</v>
      </c>
      <c r="I20" s="7" t="s">
        <v>108</v>
      </c>
      <c r="J20" s="7"/>
      <c r="K20" s="7"/>
      <c r="R20" s="1"/>
      <c r="V20" s="24" t="s">
        <v>179</v>
      </c>
      <c r="W20" s="24" t="s">
        <v>38</v>
      </c>
      <c r="X20" s="24" t="s">
        <v>148</v>
      </c>
      <c r="Y20" s="24"/>
      <c r="Z20" s="24"/>
      <c r="AA20" s="28"/>
      <c r="AB20" s="28"/>
      <c r="AC20" s="28" t="s">
        <v>117</v>
      </c>
      <c r="AD20" s="28" t="s">
        <v>19</v>
      </c>
      <c r="AE20" s="28" t="s">
        <v>118</v>
      </c>
    </row>
    <row r="21" spans="2:31" x14ac:dyDescent="0.3">
      <c r="B21" s="4" t="s">
        <v>180</v>
      </c>
      <c r="C21" s="4" t="s">
        <v>38</v>
      </c>
      <c r="D21" s="4" t="s">
        <v>181</v>
      </c>
      <c r="E21" s="4" t="s">
        <v>40</v>
      </c>
      <c r="F21" s="4" t="s">
        <v>182</v>
      </c>
      <c r="G21" s="7" t="s">
        <v>162</v>
      </c>
      <c r="H21" s="7" t="s">
        <v>38</v>
      </c>
      <c r="I21" s="7" t="s">
        <v>117</v>
      </c>
      <c r="J21" s="7" t="s">
        <v>19</v>
      </c>
      <c r="K21" s="7" t="s">
        <v>118</v>
      </c>
      <c r="V21" s="24" t="s">
        <v>183</v>
      </c>
      <c r="W21" s="24">
        <v>821016078</v>
      </c>
      <c r="X21" s="24" t="s">
        <v>155</v>
      </c>
      <c r="Y21" s="24"/>
      <c r="Z21" s="24"/>
      <c r="AA21" s="28"/>
      <c r="AB21" s="28"/>
      <c r="AC21" s="28" t="s">
        <v>128</v>
      </c>
      <c r="AD21" s="28"/>
      <c r="AE21" s="28"/>
    </row>
    <row r="22" spans="2:31" x14ac:dyDescent="0.3">
      <c r="B22" s="4" t="s">
        <v>184</v>
      </c>
      <c r="C22" s="4" t="s">
        <v>38</v>
      </c>
      <c r="D22" s="4" t="s">
        <v>185</v>
      </c>
      <c r="E22" s="4" t="s">
        <v>186</v>
      </c>
      <c r="F22" s="4" t="str">
        <f>B78</f>
        <v>Guardian_Name</v>
      </c>
      <c r="G22" s="7"/>
      <c r="H22" s="7"/>
      <c r="I22" s="7" t="s">
        <v>128</v>
      </c>
      <c r="J22" s="7"/>
      <c r="K22" s="7"/>
      <c r="V22" s="24" t="s">
        <v>110</v>
      </c>
      <c r="W22" s="24" t="s">
        <v>187</v>
      </c>
      <c r="X22" s="24" t="s">
        <v>163</v>
      </c>
      <c r="Y22" s="24"/>
      <c r="Z22" s="24"/>
      <c r="AA22" s="28"/>
      <c r="AB22" s="28"/>
      <c r="AC22" s="28" t="s">
        <v>140</v>
      </c>
      <c r="AD22" s="28"/>
      <c r="AE22" s="28"/>
    </row>
    <row r="23" spans="2:31" x14ac:dyDescent="0.3">
      <c r="B23" s="4" t="s">
        <v>188</v>
      </c>
      <c r="C23" s="4" t="s">
        <v>38</v>
      </c>
      <c r="D23" s="4" t="s">
        <v>189</v>
      </c>
      <c r="E23" s="4" t="s">
        <v>186</v>
      </c>
      <c r="F23" s="4" t="str">
        <f>B78</f>
        <v>Guardian_Name</v>
      </c>
      <c r="G23" s="7"/>
      <c r="H23" s="7"/>
      <c r="I23" s="7" t="s">
        <v>140</v>
      </c>
      <c r="J23" s="7"/>
      <c r="K23" s="7"/>
      <c r="V23" s="24" t="s">
        <v>190</v>
      </c>
      <c r="W23" s="24" t="s">
        <v>38</v>
      </c>
      <c r="X23" s="23" t="s">
        <v>191</v>
      </c>
      <c r="Y23" s="24"/>
      <c r="Z23" s="24"/>
      <c r="AA23" s="28"/>
      <c r="AB23" s="28"/>
      <c r="AC23" s="28" t="s">
        <v>148</v>
      </c>
      <c r="AD23" s="28"/>
      <c r="AE23" s="28"/>
    </row>
    <row r="24" spans="2:31" x14ac:dyDescent="0.3">
      <c r="B24" s="4" t="s">
        <v>192</v>
      </c>
      <c r="C24" s="4" t="s">
        <v>38</v>
      </c>
      <c r="D24" s="4" t="s">
        <v>193</v>
      </c>
      <c r="E24" s="4" t="s">
        <v>186</v>
      </c>
      <c r="F24" s="4" t="str">
        <f>B80</f>
        <v>Guardian_Phone</v>
      </c>
      <c r="G24" s="7"/>
      <c r="H24" s="7"/>
      <c r="I24" s="7" t="s">
        <v>148</v>
      </c>
      <c r="J24" s="7"/>
      <c r="K24" s="7"/>
      <c r="V24" s="24" t="s">
        <v>194</v>
      </c>
      <c r="W24" s="24" t="s">
        <v>38</v>
      </c>
      <c r="X24" s="24" t="s">
        <v>195</v>
      </c>
      <c r="Y24" s="24" t="s">
        <v>32</v>
      </c>
      <c r="Z24" s="24" t="s">
        <v>60</v>
      </c>
      <c r="AA24" s="28"/>
      <c r="AB24" s="28"/>
      <c r="AC24" s="28" t="s">
        <v>155</v>
      </c>
      <c r="AD24" s="28"/>
      <c r="AE24" s="28"/>
    </row>
    <row r="25" spans="2:31" x14ac:dyDescent="0.3">
      <c r="B25" s="4" t="s">
        <v>196</v>
      </c>
      <c r="C25" s="4" t="s">
        <v>38</v>
      </c>
      <c r="D25" s="4" t="s">
        <v>197</v>
      </c>
      <c r="E25" s="4" t="s">
        <v>186</v>
      </c>
      <c r="F25" s="4" t="str">
        <f>B81</f>
        <v>Guardian_Email</v>
      </c>
      <c r="G25" s="7"/>
      <c r="H25" s="7"/>
      <c r="I25" s="7" t="s">
        <v>155</v>
      </c>
      <c r="J25" s="7"/>
      <c r="K25" s="7"/>
      <c r="V25" s="24" t="s">
        <v>198</v>
      </c>
      <c r="W25" s="24" t="s">
        <v>38</v>
      </c>
      <c r="X25" s="24" t="s">
        <v>199</v>
      </c>
      <c r="Y25" s="24" t="s">
        <v>32</v>
      </c>
      <c r="Z25" s="24" t="s">
        <v>141</v>
      </c>
      <c r="AA25" s="29"/>
      <c r="AB25" s="28"/>
      <c r="AC25" s="28" t="s">
        <v>163</v>
      </c>
      <c r="AD25" s="28"/>
      <c r="AE25" s="28"/>
    </row>
    <row r="26" spans="2:31" x14ac:dyDescent="0.3">
      <c r="B26" s="4" t="s">
        <v>200</v>
      </c>
      <c r="C26" s="4" t="s">
        <v>38</v>
      </c>
      <c r="D26" s="4" t="s">
        <v>85</v>
      </c>
      <c r="E26" s="4"/>
      <c r="F26" s="4"/>
      <c r="G26" s="7"/>
      <c r="H26" s="7"/>
      <c r="I26" s="7" t="s">
        <v>163</v>
      </c>
      <c r="J26" s="7"/>
      <c r="K26" s="7"/>
      <c r="V26" s="24" t="s">
        <v>201</v>
      </c>
      <c r="W26" s="24" t="s">
        <v>38</v>
      </c>
      <c r="X26" s="24" t="s">
        <v>202</v>
      </c>
      <c r="Y26" s="24"/>
      <c r="Z26" s="24"/>
    </row>
    <row r="27" spans="2:31" x14ac:dyDescent="0.3">
      <c r="B27" s="4" t="s">
        <v>203</v>
      </c>
      <c r="C27" s="4" t="s">
        <v>38</v>
      </c>
      <c r="D27" s="4" t="s">
        <v>98</v>
      </c>
      <c r="E27" s="4"/>
      <c r="F27" s="4"/>
      <c r="V27" s="24" t="s">
        <v>204</v>
      </c>
      <c r="W27" s="24" t="s">
        <v>38</v>
      </c>
      <c r="X27" s="24" t="s">
        <v>205</v>
      </c>
      <c r="Y27" s="24"/>
      <c r="Z27" s="24"/>
    </row>
    <row r="28" spans="2:31" x14ac:dyDescent="0.3">
      <c r="B28" s="4" t="s">
        <v>206</v>
      </c>
      <c r="C28" s="4" t="s">
        <v>38</v>
      </c>
      <c r="D28" s="4" t="s">
        <v>207</v>
      </c>
      <c r="E28" s="4" t="s">
        <v>19</v>
      </c>
      <c r="F28" s="4" t="s">
        <v>118</v>
      </c>
      <c r="V28" s="24" t="s">
        <v>208</v>
      </c>
      <c r="W28" s="24"/>
      <c r="X28" s="24" t="s">
        <v>209</v>
      </c>
      <c r="Y28" s="24" t="s">
        <v>32</v>
      </c>
      <c r="Z28" s="24" t="s">
        <v>210</v>
      </c>
    </row>
    <row r="29" spans="2:31" x14ac:dyDescent="0.3">
      <c r="B29" s="4" t="s">
        <v>160</v>
      </c>
      <c r="C29" s="4" t="s">
        <v>38</v>
      </c>
      <c r="D29" s="4" t="s">
        <v>108</v>
      </c>
      <c r="E29" s="4"/>
      <c r="F29" s="4"/>
      <c r="V29" s="24" t="s">
        <v>88</v>
      </c>
      <c r="W29" s="24"/>
      <c r="X29" s="24" t="s">
        <v>211</v>
      </c>
      <c r="Y29" s="24" t="s">
        <v>32</v>
      </c>
      <c r="Z29" s="24" t="s">
        <v>212</v>
      </c>
      <c r="AE29" s="1"/>
    </row>
    <row r="30" spans="2:31" x14ac:dyDescent="0.3">
      <c r="B30" s="4" t="s">
        <v>152</v>
      </c>
      <c r="C30" s="4" t="s">
        <v>38</v>
      </c>
      <c r="D30" s="4" t="s">
        <v>117</v>
      </c>
      <c r="E30" s="4"/>
      <c r="F30" s="4"/>
      <c r="V30" s="24" t="s">
        <v>101</v>
      </c>
      <c r="W30" s="24"/>
      <c r="X30" s="24" t="s">
        <v>213</v>
      </c>
      <c r="Y30" s="24" t="s">
        <v>32</v>
      </c>
      <c r="Z30" s="24" t="s">
        <v>179</v>
      </c>
    </row>
    <row r="31" spans="2:31" x14ac:dyDescent="0.3">
      <c r="B31" s="4" t="s">
        <v>214</v>
      </c>
      <c r="C31" s="4" t="s">
        <v>38</v>
      </c>
      <c r="D31" s="4" t="s">
        <v>128</v>
      </c>
      <c r="E31" s="4"/>
      <c r="F31" s="4"/>
      <c r="V31" s="24" t="s">
        <v>210</v>
      </c>
      <c r="W31" s="24" t="s">
        <v>105</v>
      </c>
      <c r="X31" s="24" t="s">
        <v>109</v>
      </c>
      <c r="Y31" s="24" t="s">
        <v>32</v>
      </c>
      <c r="Z31" s="24" t="s">
        <v>110</v>
      </c>
    </row>
    <row r="32" spans="2:31" x14ac:dyDescent="0.3">
      <c r="B32" s="4" t="s">
        <v>215</v>
      </c>
      <c r="C32" s="4" t="s">
        <v>38</v>
      </c>
      <c r="D32" s="4" t="s">
        <v>140</v>
      </c>
      <c r="E32" s="4"/>
      <c r="F32" s="4"/>
      <c r="V32" s="24" t="s">
        <v>212</v>
      </c>
      <c r="W32" s="24" t="s">
        <v>216</v>
      </c>
      <c r="X32" s="24" t="s">
        <v>85</v>
      </c>
      <c r="Y32" s="24"/>
      <c r="Z32" s="24"/>
    </row>
    <row r="33" spans="2:30" x14ac:dyDescent="0.3">
      <c r="B33" s="4" t="s">
        <v>217</v>
      </c>
      <c r="C33" s="4" t="s">
        <v>38</v>
      </c>
      <c r="D33" s="4" t="s">
        <v>148</v>
      </c>
      <c r="E33" s="4"/>
      <c r="F33" s="4"/>
      <c r="V33" s="24" t="s">
        <v>127</v>
      </c>
      <c r="W33" s="24" t="s">
        <v>38</v>
      </c>
      <c r="X33" s="24" t="s">
        <v>98</v>
      </c>
      <c r="Y33" s="24"/>
      <c r="Z33" s="24"/>
    </row>
    <row r="34" spans="2:30" x14ac:dyDescent="0.3">
      <c r="B34" s="4" t="s">
        <v>218</v>
      </c>
      <c r="C34" s="4" t="s">
        <v>38</v>
      </c>
      <c r="D34" s="4" t="s">
        <v>155</v>
      </c>
      <c r="E34" s="4"/>
      <c r="F34" s="4"/>
      <c r="V34" s="24" t="s">
        <v>219</v>
      </c>
      <c r="W34" s="24"/>
      <c r="X34" s="24" t="s">
        <v>18</v>
      </c>
      <c r="Y34" s="24" t="s">
        <v>19</v>
      </c>
      <c r="Z34" s="24" t="s">
        <v>20</v>
      </c>
    </row>
    <row r="35" spans="2:30" x14ac:dyDescent="0.3">
      <c r="B35" s="4" t="s">
        <v>220</v>
      </c>
      <c r="C35" s="4" t="s">
        <v>38</v>
      </c>
      <c r="D35" s="4" t="s">
        <v>163</v>
      </c>
      <c r="E35" s="4"/>
      <c r="F35" s="4"/>
      <c r="V35" s="23" t="s">
        <v>221</v>
      </c>
      <c r="W35" s="23" t="s">
        <v>5</v>
      </c>
      <c r="X35" s="24" t="s">
        <v>108</v>
      </c>
      <c r="Y35" s="24"/>
      <c r="Z35" s="24"/>
    </row>
    <row r="36" spans="2:30" x14ac:dyDescent="0.3">
      <c r="B36" s="4" t="s">
        <v>222</v>
      </c>
      <c r="C36" s="4" t="s">
        <v>38</v>
      </c>
      <c r="D36" s="4"/>
      <c r="E36" s="4"/>
      <c r="F36" s="4"/>
      <c r="V36" s="24" t="s">
        <v>21</v>
      </c>
      <c r="W36" s="24">
        <v>711582</v>
      </c>
      <c r="X36" s="24" t="s">
        <v>117</v>
      </c>
      <c r="Y36" s="24" t="s">
        <v>19</v>
      </c>
      <c r="Z36" s="24" t="s">
        <v>118</v>
      </c>
      <c r="AC36" s="1"/>
    </row>
    <row r="37" spans="2:30" x14ac:dyDescent="0.3">
      <c r="B37" s="4" t="s">
        <v>223</v>
      </c>
      <c r="C37" s="4" t="s">
        <v>38</v>
      </c>
      <c r="D37" s="4"/>
      <c r="E37" s="4"/>
      <c r="F37" s="4"/>
      <c r="V37" s="24" t="s">
        <v>17</v>
      </c>
      <c r="W37" s="24">
        <v>938719</v>
      </c>
      <c r="X37" s="24" t="s">
        <v>128</v>
      </c>
      <c r="Y37" s="24"/>
      <c r="Z37" s="24"/>
    </row>
    <row r="38" spans="2:30" x14ac:dyDescent="0.3">
      <c r="B38" s="4" t="s">
        <v>224</v>
      </c>
      <c r="C38" s="4" t="s">
        <v>38</v>
      </c>
      <c r="D38" s="4"/>
      <c r="E38" s="4"/>
      <c r="F38" s="4"/>
      <c r="V38" s="24" t="s">
        <v>225</v>
      </c>
      <c r="W38" s="24" t="s">
        <v>187</v>
      </c>
      <c r="X38" s="24" t="s">
        <v>140</v>
      </c>
      <c r="Y38" s="24"/>
      <c r="Z38" s="24"/>
    </row>
    <row r="39" spans="2:30" x14ac:dyDescent="0.3">
      <c r="B39" s="4" t="s">
        <v>226</v>
      </c>
      <c r="C39" s="4" t="s">
        <v>38</v>
      </c>
      <c r="D39" s="4"/>
      <c r="E39" s="4"/>
      <c r="F39" s="4"/>
      <c r="V39" s="24" t="s">
        <v>227</v>
      </c>
      <c r="W39" s="24" t="s">
        <v>187</v>
      </c>
      <c r="X39" s="24" t="s">
        <v>148</v>
      </c>
      <c r="Y39" s="24"/>
      <c r="Z39" s="24"/>
    </row>
    <row r="40" spans="2:30" x14ac:dyDescent="0.3">
      <c r="B40" s="4" t="s">
        <v>228</v>
      </c>
      <c r="C40" s="4" t="s">
        <v>38</v>
      </c>
      <c r="D40" s="4"/>
      <c r="E40" s="4"/>
      <c r="F40" s="4"/>
      <c r="V40" s="24" t="s">
        <v>64</v>
      </c>
      <c r="W40" s="24" t="s">
        <v>229</v>
      </c>
      <c r="X40" s="24" t="s">
        <v>155</v>
      </c>
      <c r="Y40" s="24"/>
      <c r="Z40" s="24"/>
    </row>
    <row r="41" spans="2:30" x14ac:dyDescent="0.3">
      <c r="B41" s="4" t="s">
        <v>230</v>
      </c>
      <c r="C41" s="4" t="s">
        <v>38</v>
      </c>
      <c r="D41" s="4"/>
      <c r="E41" s="4"/>
      <c r="F41" s="4"/>
      <c r="V41" s="24" t="s">
        <v>65</v>
      </c>
      <c r="W41" s="25">
        <v>46213.711414120371</v>
      </c>
      <c r="X41" s="24" t="s">
        <v>163</v>
      </c>
      <c r="Y41" s="24"/>
      <c r="Z41" s="24"/>
    </row>
    <row r="42" spans="2:30" x14ac:dyDescent="0.3">
      <c r="B42" s="4" t="s">
        <v>231</v>
      </c>
      <c r="C42" s="4" t="s">
        <v>38</v>
      </c>
      <c r="D42" s="4"/>
      <c r="E42" s="4"/>
      <c r="F42" s="4"/>
      <c r="V42" s="24" t="s">
        <v>97</v>
      </c>
      <c r="W42" s="24" t="s">
        <v>38</v>
      </c>
      <c r="X42" s="23" t="s">
        <v>232</v>
      </c>
      <c r="Y42" s="24"/>
      <c r="Z42" s="24"/>
    </row>
    <row r="43" spans="2:30" x14ac:dyDescent="0.3">
      <c r="B43" s="4" t="s">
        <v>168</v>
      </c>
      <c r="C43" s="4"/>
      <c r="D43" s="4"/>
      <c r="E43" s="4"/>
      <c r="F43" s="4"/>
      <c r="V43" s="24" t="s">
        <v>116</v>
      </c>
      <c r="W43" s="24">
        <v>1145</v>
      </c>
      <c r="X43" s="24" t="s">
        <v>233</v>
      </c>
      <c r="Y43" s="24" t="s">
        <v>32</v>
      </c>
      <c r="Z43" s="24" t="s">
        <v>164</v>
      </c>
    </row>
    <row r="44" spans="2:30" x14ac:dyDescent="0.3">
      <c r="B44" s="4" t="s">
        <v>172</v>
      </c>
      <c r="C44" s="4" t="s">
        <v>38</v>
      </c>
      <c r="D44" s="4"/>
      <c r="E44" s="4"/>
      <c r="F44" s="4"/>
      <c r="V44" s="24" t="s">
        <v>127</v>
      </c>
      <c r="W44" s="24" t="s">
        <v>38</v>
      </c>
      <c r="X44" s="24" t="s">
        <v>234</v>
      </c>
      <c r="Y44" s="24" t="s">
        <v>32</v>
      </c>
      <c r="Z44" s="24" t="s">
        <v>169</v>
      </c>
    </row>
    <row r="45" spans="2:30" x14ac:dyDescent="0.3">
      <c r="B45" s="4" t="s">
        <v>235</v>
      </c>
      <c r="C45" s="4" t="s">
        <v>38</v>
      </c>
      <c r="D45" s="4"/>
      <c r="E45" s="4"/>
      <c r="F45" s="4"/>
      <c r="V45" s="23" t="s">
        <v>236</v>
      </c>
      <c r="W45" s="23" t="s">
        <v>5</v>
      </c>
      <c r="X45" s="24" t="s">
        <v>213</v>
      </c>
      <c r="Y45" s="24" t="s">
        <v>32</v>
      </c>
      <c r="Z45" s="24" t="s">
        <v>179</v>
      </c>
    </row>
    <row r="46" spans="2:30" x14ac:dyDescent="0.3">
      <c r="B46" s="4" t="s">
        <v>237</v>
      </c>
      <c r="C46" s="4" t="s">
        <v>38</v>
      </c>
      <c r="D46" s="4"/>
      <c r="E46" s="4"/>
      <c r="F46" s="4"/>
      <c r="V46" s="24" t="s">
        <v>21</v>
      </c>
      <c r="W46" s="24">
        <v>1350217</v>
      </c>
      <c r="X46" s="24" t="s">
        <v>109</v>
      </c>
      <c r="Y46" s="24" t="s">
        <v>32</v>
      </c>
      <c r="Z46" s="24" t="s">
        <v>110</v>
      </c>
      <c r="AD46" s="1"/>
    </row>
    <row r="47" spans="2:30" x14ac:dyDescent="0.3">
      <c r="B47" s="4" t="s">
        <v>238</v>
      </c>
      <c r="C47" s="4" t="s">
        <v>38</v>
      </c>
      <c r="D47" s="4"/>
      <c r="E47" s="4"/>
      <c r="F47" s="4"/>
      <c r="V47" s="24" t="s">
        <v>17</v>
      </c>
      <c r="W47" s="24">
        <v>938719</v>
      </c>
      <c r="X47" s="24" t="s">
        <v>85</v>
      </c>
      <c r="Y47" s="24"/>
      <c r="Z47" s="24"/>
    </row>
    <row r="48" spans="2:30" x14ac:dyDescent="0.3">
      <c r="B48" s="4" t="s">
        <v>239</v>
      </c>
      <c r="C48" s="4" t="s">
        <v>38</v>
      </c>
      <c r="D48" s="4"/>
      <c r="E48" s="4"/>
      <c r="F48" s="4"/>
      <c r="V48" s="24" t="s">
        <v>118</v>
      </c>
      <c r="W48" s="24" t="s">
        <v>240</v>
      </c>
      <c r="X48" s="24" t="s">
        <v>98</v>
      </c>
      <c r="Y48" s="24"/>
      <c r="Z48" s="24"/>
    </row>
    <row r="49" spans="2:26" x14ac:dyDescent="0.3">
      <c r="B49" s="4" t="s">
        <v>241</v>
      </c>
      <c r="C49" s="4" t="s">
        <v>38</v>
      </c>
      <c r="D49" s="4"/>
      <c r="E49" s="4"/>
      <c r="F49" s="4"/>
      <c r="V49" s="24" t="s">
        <v>20</v>
      </c>
      <c r="W49" s="24" t="s">
        <v>242</v>
      </c>
      <c r="X49" s="24" t="s">
        <v>18</v>
      </c>
      <c r="Y49" s="24" t="s">
        <v>19</v>
      </c>
      <c r="Z49" s="24" t="s">
        <v>20</v>
      </c>
    </row>
    <row r="50" spans="2:26" x14ac:dyDescent="0.3">
      <c r="B50" s="4" t="s">
        <v>243</v>
      </c>
      <c r="C50" s="4" t="s">
        <v>38</v>
      </c>
      <c r="D50" s="4"/>
      <c r="E50" s="4"/>
      <c r="F50" s="4"/>
      <c r="V50" s="24" t="s">
        <v>116</v>
      </c>
      <c r="W50" s="24">
        <v>1145</v>
      </c>
      <c r="X50" s="24" t="s">
        <v>108</v>
      </c>
      <c r="Y50" s="24"/>
      <c r="Z50" s="24"/>
    </row>
    <row r="51" spans="2:26" x14ac:dyDescent="0.3">
      <c r="B51" s="4" t="s">
        <v>244</v>
      </c>
      <c r="C51" s="4" t="s">
        <v>38</v>
      </c>
      <c r="D51" s="4"/>
      <c r="E51" s="4"/>
      <c r="F51" s="4"/>
      <c r="V51" s="24" t="s">
        <v>127</v>
      </c>
      <c r="W51" s="24" t="s">
        <v>38</v>
      </c>
      <c r="X51" s="24" t="s">
        <v>117</v>
      </c>
      <c r="Y51" s="24" t="s">
        <v>19</v>
      </c>
      <c r="Z51" s="24" t="s">
        <v>118</v>
      </c>
    </row>
    <row r="52" spans="2:26" x14ac:dyDescent="0.3">
      <c r="B52" s="4" t="s">
        <v>245</v>
      </c>
      <c r="C52" s="4" t="s">
        <v>38</v>
      </c>
      <c r="D52" s="4"/>
      <c r="E52" s="4"/>
      <c r="F52" s="4"/>
      <c r="V52" s="24" t="s">
        <v>65</v>
      </c>
      <c r="W52" s="25">
        <v>46213.922662187499</v>
      </c>
      <c r="X52" s="24" t="s">
        <v>128</v>
      </c>
      <c r="Y52" s="24"/>
      <c r="Z52" s="24"/>
    </row>
    <row r="53" spans="2:26" x14ac:dyDescent="0.3">
      <c r="B53" s="4" t="s">
        <v>246</v>
      </c>
      <c r="C53" s="4" t="s">
        <v>38</v>
      </c>
      <c r="D53" s="4"/>
      <c r="E53" s="4"/>
      <c r="F53" s="4"/>
      <c r="V53" s="24" t="s">
        <v>97</v>
      </c>
      <c r="W53" s="24" t="s">
        <v>38</v>
      </c>
      <c r="X53" s="24" t="s">
        <v>140</v>
      </c>
      <c r="Y53" s="24"/>
      <c r="Z53" s="24"/>
    </row>
    <row r="54" spans="2:26" x14ac:dyDescent="0.3">
      <c r="B54" s="4" t="s">
        <v>247</v>
      </c>
      <c r="C54" s="4" t="s">
        <v>38</v>
      </c>
      <c r="D54" s="4"/>
      <c r="E54" s="4"/>
      <c r="F54" s="4"/>
      <c r="V54" s="24"/>
      <c r="W54" s="24"/>
      <c r="X54" s="24" t="s">
        <v>148</v>
      </c>
      <c r="Y54" s="24"/>
      <c r="Z54" s="24"/>
    </row>
    <row r="55" spans="2:26" x14ac:dyDescent="0.3">
      <c r="B55" s="4" t="s">
        <v>248</v>
      </c>
      <c r="C55" s="4" t="s">
        <v>38</v>
      </c>
      <c r="D55" s="4"/>
      <c r="E55" s="4"/>
      <c r="F55" s="4"/>
      <c r="V55" s="24"/>
      <c r="W55" s="24"/>
      <c r="X55" s="24" t="s">
        <v>155</v>
      </c>
      <c r="Y55" s="24"/>
      <c r="Z55" s="24"/>
    </row>
    <row r="56" spans="2:26" x14ac:dyDescent="0.3">
      <c r="B56" s="4" t="s">
        <v>249</v>
      </c>
      <c r="C56" s="4" t="s">
        <v>38</v>
      </c>
      <c r="D56" s="4"/>
      <c r="E56" s="4"/>
      <c r="F56" s="4"/>
      <c r="V56" s="24"/>
      <c r="W56" s="24"/>
      <c r="X56" s="24" t="s">
        <v>163</v>
      </c>
      <c r="Y56" s="24"/>
      <c r="Z56" s="24"/>
    </row>
    <row r="57" spans="2:26" x14ac:dyDescent="0.3">
      <c r="B57" s="4" t="s">
        <v>250</v>
      </c>
      <c r="C57" s="4" t="s">
        <v>38</v>
      </c>
      <c r="D57" s="4"/>
      <c r="E57" s="4"/>
      <c r="F57" s="4"/>
    </row>
    <row r="58" spans="2:26" x14ac:dyDescent="0.3">
      <c r="B58" s="4" t="s">
        <v>251</v>
      </c>
      <c r="C58" s="4" t="s">
        <v>38</v>
      </c>
      <c r="D58" s="4"/>
      <c r="E58" s="4"/>
      <c r="F58" s="4"/>
    </row>
    <row r="59" spans="2:26" x14ac:dyDescent="0.3">
      <c r="B59" s="4" t="s">
        <v>252</v>
      </c>
      <c r="C59" s="4" t="s">
        <v>38</v>
      </c>
      <c r="D59" s="4"/>
      <c r="E59" s="4"/>
      <c r="F59" s="4"/>
    </row>
    <row r="60" spans="2:26" x14ac:dyDescent="0.3">
      <c r="B60" s="4" t="s">
        <v>253</v>
      </c>
      <c r="C60" s="4" t="s">
        <v>38</v>
      </c>
      <c r="D60" s="4"/>
      <c r="E60" s="4"/>
      <c r="F60" s="4"/>
    </row>
    <row r="61" spans="2:26" x14ac:dyDescent="0.3">
      <c r="B61" s="4" t="s">
        <v>254</v>
      </c>
      <c r="C61" s="4" t="s">
        <v>38</v>
      </c>
      <c r="D61" s="4"/>
      <c r="E61" s="4"/>
      <c r="F61" s="4"/>
    </row>
    <row r="62" spans="2:26" x14ac:dyDescent="0.3">
      <c r="B62" s="4" t="s">
        <v>255</v>
      </c>
      <c r="C62" s="4">
        <v>0</v>
      </c>
      <c r="D62" s="4"/>
      <c r="E62" s="4"/>
      <c r="F62" s="4"/>
    </row>
    <row r="63" spans="2:26" x14ac:dyDescent="0.3">
      <c r="B63" s="4" t="s">
        <v>256</v>
      </c>
      <c r="C63" s="4" t="s">
        <v>38</v>
      </c>
      <c r="D63" s="4"/>
      <c r="E63" s="4"/>
      <c r="F63" s="4"/>
    </row>
    <row r="64" spans="2:26" x14ac:dyDescent="0.3">
      <c r="B64" s="4" t="s">
        <v>257</v>
      </c>
      <c r="C64" s="4" t="s">
        <v>38</v>
      </c>
      <c r="D64" s="4"/>
      <c r="E64" s="4"/>
      <c r="F64" s="4"/>
    </row>
    <row r="65" spans="2:6" x14ac:dyDescent="0.3">
      <c r="B65" s="4" t="s">
        <v>258</v>
      </c>
      <c r="C65" s="4" t="s">
        <v>38</v>
      </c>
      <c r="D65" s="4"/>
      <c r="E65" s="4"/>
      <c r="F65" s="4"/>
    </row>
    <row r="66" spans="2:6" x14ac:dyDescent="0.3">
      <c r="B66" s="4" t="s">
        <v>259</v>
      </c>
      <c r="C66" s="4" t="s">
        <v>38</v>
      </c>
      <c r="D66" s="4"/>
      <c r="E66" s="4"/>
      <c r="F66" s="4"/>
    </row>
    <row r="67" spans="2:6" x14ac:dyDescent="0.3">
      <c r="B67" s="4" t="s">
        <v>260</v>
      </c>
      <c r="C67" s="4" t="s">
        <v>38</v>
      </c>
      <c r="D67" s="4"/>
      <c r="E67" s="4"/>
      <c r="F67" s="4"/>
    </row>
    <row r="68" spans="2:6" x14ac:dyDescent="0.3">
      <c r="B68" s="4" t="s">
        <v>261</v>
      </c>
      <c r="C68" s="4" t="s">
        <v>38</v>
      </c>
      <c r="D68" s="4"/>
      <c r="E68" s="4"/>
      <c r="F68" s="4"/>
    </row>
    <row r="69" spans="2:6" x14ac:dyDescent="0.3">
      <c r="B69" s="4" t="s">
        <v>262</v>
      </c>
      <c r="C69" s="4" t="s">
        <v>38</v>
      </c>
      <c r="D69" s="4"/>
      <c r="E69" s="4"/>
      <c r="F69" s="4"/>
    </row>
    <row r="70" spans="2:6" x14ac:dyDescent="0.3">
      <c r="B70" s="4" t="s">
        <v>263</v>
      </c>
      <c r="C70" s="4" t="s">
        <v>38</v>
      </c>
      <c r="D70" s="4"/>
      <c r="E70" s="4"/>
      <c r="F70" s="4"/>
    </row>
    <row r="71" spans="2:6" x14ac:dyDescent="0.3">
      <c r="B71" s="4" t="s">
        <v>264</v>
      </c>
      <c r="C71" s="4" t="s">
        <v>38</v>
      </c>
      <c r="D71" s="4"/>
      <c r="E71" s="4"/>
      <c r="F71" s="4"/>
    </row>
    <row r="72" spans="2:6" x14ac:dyDescent="0.3">
      <c r="B72" s="4" t="s">
        <v>265</v>
      </c>
      <c r="C72" s="4" t="s">
        <v>266</v>
      </c>
      <c r="D72" s="4"/>
      <c r="E72" s="4"/>
      <c r="F72" s="4"/>
    </row>
    <row r="73" spans="2:6" x14ac:dyDescent="0.3">
      <c r="B73" s="4" t="s">
        <v>182</v>
      </c>
      <c r="C73" s="4">
        <v>0</v>
      </c>
      <c r="D73" s="4"/>
      <c r="E73" s="4"/>
      <c r="F73" s="4"/>
    </row>
    <row r="74" spans="2:6" x14ac:dyDescent="0.3">
      <c r="B74" s="30" t="s">
        <v>267</v>
      </c>
      <c r="C74" s="30" t="s">
        <v>5</v>
      </c>
      <c r="D74" s="31"/>
      <c r="E74" s="31"/>
      <c r="F74" s="31"/>
    </row>
    <row r="75" spans="2:6" x14ac:dyDescent="0.3">
      <c r="B75" s="31" t="s">
        <v>21</v>
      </c>
      <c r="C75" s="31"/>
      <c r="D75" s="31"/>
      <c r="E75" s="31"/>
      <c r="F75" s="31"/>
    </row>
    <row r="76" spans="2:6" x14ac:dyDescent="0.3">
      <c r="B76" s="31" t="s">
        <v>17</v>
      </c>
      <c r="C76" s="31"/>
      <c r="D76" s="31"/>
      <c r="E76" s="31"/>
      <c r="F76" s="31"/>
    </row>
    <row r="77" spans="2:6" x14ac:dyDescent="0.3">
      <c r="B77" s="31" t="s">
        <v>268</v>
      </c>
      <c r="C77" s="31"/>
      <c r="D77" s="31"/>
      <c r="E77" s="31"/>
      <c r="F77" s="31"/>
    </row>
    <row r="78" spans="2:6" x14ac:dyDescent="0.3">
      <c r="B78" s="31" t="s">
        <v>269</v>
      </c>
      <c r="C78" s="31"/>
      <c r="D78" s="31"/>
      <c r="E78" s="31"/>
      <c r="F78" s="31"/>
    </row>
    <row r="79" spans="2:6" x14ac:dyDescent="0.3">
      <c r="B79" s="31" t="s">
        <v>270</v>
      </c>
      <c r="C79" s="31"/>
      <c r="D79" s="31"/>
      <c r="E79" s="31"/>
      <c r="F79" s="31"/>
    </row>
    <row r="80" spans="2:6" x14ac:dyDescent="0.3">
      <c r="B80" s="31" t="s">
        <v>271</v>
      </c>
      <c r="C80" s="31"/>
      <c r="D80" s="31"/>
      <c r="E80" s="31"/>
      <c r="F80" s="31"/>
    </row>
    <row r="81" spans="2:6" x14ac:dyDescent="0.3">
      <c r="B81" s="31" t="s">
        <v>272</v>
      </c>
      <c r="C81" s="31"/>
      <c r="D81" s="31"/>
      <c r="E81" s="31"/>
      <c r="F81" s="31"/>
    </row>
    <row r="82" spans="2:6" x14ac:dyDescent="0.3">
      <c r="B82" s="31" t="s">
        <v>75</v>
      </c>
      <c r="C82" s="31"/>
      <c r="D82" s="31"/>
      <c r="E82" s="31"/>
      <c r="F82" s="31"/>
    </row>
    <row r="83" spans="2:6" x14ac:dyDescent="0.3">
      <c r="B83" s="31" t="s">
        <v>86</v>
      </c>
      <c r="C83" s="31"/>
      <c r="D83" s="31"/>
      <c r="E83" s="31"/>
      <c r="F83" s="31"/>
    </row>
    <row r="84" spans="2:6" x14ac:dyDescent="0.3">
      <c r="B84" s="31" t="s">
        <v>273</v>
      </c>
      <c r="C84" s="31"/>
      <c r="D84" s="31"/>
      <c r="E84" s="31"/>
      <c r="F84" s="31"/>
    </row>
    <row r="85" spans="2:6" x14ac:dyDescent="0.3">
      <c r="B85" s="31" t="s">
        <v>274</v>
      </c>
      <c r="C85" s="31"/>
      <c r="D85" s="31"/>
      <c r="E85" s="31"/>
      <c r="F85" s="31"/>
    </row>
    <row r="86" spans="2:6" x14ac:dyDescent="0.3">
      <c r="B86" s="31" t="s">
        <v>127</v>
      </c>
      <c r="C86" s="31"/>
      <c r="D86" s="31"/>
      <c r="E86" s="31"/>
      <c r="F86" s="31"/>
    </row>
    <row r="87" spans="2:6" x14ac:dyDescent="0.3">
      <c r="B87" s="31" t="s">
        <v>275</v>
      </c>
      <c r="C87" s="31"/>
      <c r="D87" s="31"/>
      <c r="E87" s="31"/>
      <c r="F87" s="31"/>
    </row>
    <row r="88" spans="2:6" x14ac:dyDescent="0.3">
      <c r="B88" s="31" t="s">
        <v>276</v>
      </c>
      <c r="C88" s="31"/>
      <c r="D88" s="31"/>
      <c r="E88" s="31"/>
      <c r="F88" s="31"/>
    </row>
    <row r="89" spans="2:6" x14ac:dyDescent="0.3">
      <c r="B89" s="31" t="s">
        <v>277</v>
      </c>
      <c r="C89" s="31"/>
      <c r="D89" s="31"/>
      <c r="E89" s="31"/>
      <c r="F89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EC8E-3229-4EEE-8153-5292EF341359}">
  <dimension ref="B3:CM115"/>
  <sheetViews>
    <sheetView workbookViewId="0">
      <pane xSplit="3" topLeftCell="D1" activePane="topRight" state="frozen"/>
      <selection pane="topRight" activeCell="D107" sqref="D107"/>
    </sheetView>
  </sheetViews>
  <sheetFormatPr defaultRowHeight="14.4" x14ac:dyDescent="0.3"/>
  <cols>
    <col min="2" max="2" width="41.5546875" bestFit="1" customWidth="1"/>
    <col min="3" max="3" width="24" bestFit="1" customWidth="1"/>
    <col min="4" max="4" width="27.33203125" customWidth="1"/>
    <col min="5" max="5" width="17.88671875" bestFit="1" customWidth="1"/>
    <col min="6" max="6" width="22.33203125" bestFit="1" customWidth="1"/>
    <col min="7" max="7" width="19.33203125" customWidth="1"/>
    <col min="8" max="8" width="18" bestFit="1" customWidth="1"/>
    <col min="9" max="9" width="35.88671875" bestFit="1" customWidth="1"/>
    <col min="10" max="10" width="19.6640625" customWidth="1"/>
    <col min="11" max="11" width="17.88671875" bestFit="1" customWidth="1"/>
    <col min="12" max="12" width="15.6640625" customWidth="1"/>
    <col min="13" max="13" width="19.6640625" customWidth="1"/>
    <col min="14" max="14" width="17.88671875" bestFit="1" customWidth="1"/>
    <col min="15" max="15" width="15.109375" bestFit="1" customWidth="1"/>
    <col min="16" max="16" width="30.5546875" customWidth="1"/>
    <col min="17" max="17" width="26.33203125" bestFit="1" customWidth="1"/>
    <col min="18" max="18" width="40.33203125" bestFit="1" customWidth="1"/>
    <col min="19" max="19" width="27.109375" customWidth="1"/>
    <col min="20" max="20" width="17.88671875" bestFit="1" customWidth="1"/>
    <col min="21" max="21" width="21.44140625" bestFit="1" customWidth="1"/>
    <col min="22" max="22" width="36.33203125" bestFit="1" customWidth="1"/>
    <col min="23" max="23" width="15.33203125" bestFit="1" customWidth="1"/>
    <col min="24" max="24" width="29.77734375" bestFit="1" customWidth="1"/>
    <col min="25" max="25" width="34.33203125" bestFit="1" customWidth="1"/>
    <col min="26" max="26" width="15.33203125" bestFit="1" customWidth="1"/>
    <col min="27" max="27" width="34.33203125" bestFit="1" customWidth="1"/>
    <col min="28" max="28" width="43.33203125" bestFit="1" customWidth="1"/>
    <col min="29" max="29" width="15.33203125" bestFit="1" customWidth="1"/>
    <col min="30" max="30" width="10.5546875" bestFit="1" customWidth="1"/>
    <col min="31" max="31" width="9" bestFit="1" customWidth="1"/>
    <col min="33" max="33" width="9" bestFit="1" customWidth="1"/>
    <col min="43" max="46" width="9" bestFit="1" customWidth="1"/>
    <col min="60" max="60" width="9" bestFit="1" customWidth="1"/>
    <col min="62" max="64" width="9" bestFit="1" customWidth="1"/>
    <col min="66" max="66" width="9" bestFit="1" customWidth="1"/>
    <col min="69" max="71" width="9" bestFit="1" customWidth="1"/>
    <col min="78" max="78" width="9" bestFit="1" customWidth="1"/>
    <col min="80" max="83" width="9" bestFit="1" customWidth="1"/>
    <col min="87" max="87" width="9" bestFit="1" customWidth="1"/>
    <col min="88" max="88" width="11" bestFit="1" customWidth="1"/>
    <col min="90" max="90" width="9.109375" bestFit="1" customWidth="1"/>
    <col min="91" max="91" width="10.33203125" bestFit="1" customWidth="1"/>
    <col min="93" max="93" width="10" bestFit="1" customWidth="1"/>
    <col min="104" max="104" width="9" bestFit="1" customWidth="1"/>
    <col min="105" max="105" width="11" bestFit="1" customWidth="1"/>
    <col min="106" max="106" width="10" bestFit="1" customWidth="1"/>
    <col min="107" max="109" width="9" bestFit="1" customWidth="1"/>
    <col min="110" max="110" width="11" bestFit="1" customWidth="1"/>
    <col min="111" max="111" width="10" bestFit="1" customWidth="1"/>
    <col min="112" max="113" width="9" bestFit="1" customWidth="1"/>
    <col min="117" max="117" width="9" bestFit="1" customWidth="1"/>
  </cols>
  <sheetData>
    <row r="3" spans="2:91" x14ac:dyDescent="0.3">
      <c r="B3" s="33" t="s">
        <v>278</v>
      </c>
      <c r="C3" s="34"/>
      <c r="D3" s="2" t="s">
        <v>1</v>
      </c>
      <c r="E3" s="2" t="s">
        <v>2</v>
      </c>
      <c r="F3" s="2" t="s">
        <v>3</v>
      </c>
      <c r="G3" s="6" t="s">
        <v>1</v>
      </c>
      <c r="H3" s="6" t="s">
        <v>2</v>
      </c>
      <c r="I3" s="6" t="s">
        <v>3</v>
      </c>
      <c r="J3" s="10" t="s">
        <v>1</v>
      </c>
      <c r="K3" s="10" t="s">
        <v>2</v>
      </c>
      <c r="L3" s="17" t="s">
        <v>3</v>
      </c>
      <c r="M3" s="14" t="s">
        <v>1</v>
      </c>
      <c r="N3" s="14" t="s">
        <v>2</v>
      </c>
      <c r="O3" s="20" t="s">
        <v>3</v>
      </c>
      <c r="P3" s="22" t="s">
        <v>1</v>
      </c>
      <c r="Q3" s="22" t="s">
        <v>2</v>
      </c>
      <c r="R3" s="22" t="s">
        <v>3</v>
      </c>
      <c r="S3" s="26" t="s">
        <v>1</v>
      </c>
      <c r="T3" s="26" t="s">
        <v>2</v>
      </c>
      <c r="U3" s="36" t="s">
        <v>3</v>
      </c>
      <c r="V3" s="38" t="s">
        <v>279</v>
      </c>
      <c r="W3" s="38" t="s">
        <v>2</v>
      </c>
      <c r="X3" s="38" t="s">
        <v>3</v>
      </c>
      <c r="Y3" s="40" t="s">
        <v>279</v>
      </c>
      <c r="Z3" s="40" t="s">
        <v>2</v>
      </c>
      <c r="AA3" s="43" t="s">
        <v>3</v>
      </c>
      <c r="AB3" s="42" t="s">
        <v>279</v>
      </c>
      <c r="AC3" s="42" t="s">
        <v>2</v>
      </c>
      <c r="AD3" s="42" t="s">
        <v>3</v>
      </c>
    </row>
    <row r="4" spans="2:91" x14ac:dyDescent="0.3">
      <c r="B4" s="33" t="s">
        <v>280</v>
      </c>
      <c r="C4" s="33" t="s">
        <v>281</v>
      </c>
      <c r="D4" s="65" t="s">
        <v>282</v>
      </c>
      <c r="E4" s="66"/>
      <c r="F4" s="67"/>
      <c r="G4" s="8" t="s">
        <v>283</v>
      </c>
      <c r="H4" s="7"/>
      <c r="I4" s="7"/>
      <c r="J4" s="68" t="s">
        <v>284</v>
      </c>
      <c r="K4" s="69"/>
      <c r="L4" s="70"/>
      <c r="M4" s="71" t="s">
        <v>12</v>
      </c>
      <c r="N4" s="72"/>
      <c r="O4" s="73"/>
      <c r="P4" s="56" t="s">
        <v>285</v>
      </c>
      <c r="Q4" s="57"/>
      <c r="R4" s="58"/>
      <c r="S4" s="59" t="s">
        <v>286</v>
      </c>
      <c r="T4" s="60"/>
      <c r="U4" s="60"/>
      <c r="V4" s="61" t="s">
        <v>287</v>
      </c>
      <c r="W4" s="61"/>
      <c r="X4" s="61"/>
      <c r="Y4" s="62" t="s">
        <v>288</v>
      </c>
      <c r="Z4" s="62"/>
      <c r="AA4" s="63"/>
      <c r="AB4" s="64" t="s">
        <v>289</v>
      </c>
      <c r="AC4" s="64"/>
      <c r="AD4" s="64"/>
    </row>
    <row r="5" spans="2:91" x14ac:dyDescent="0.3">
      <c r="B5" s="34" t="s">
        <v>290</v>
      </c>
      <c r="C5" s="34" t="s">
        <v>291</v>
      </c>
      <c r="D5" s="4" t="s">
        <v>18</v>
      </c>
      <c r="E5" s="4" t="s">
        <v>292</v>
      </c>
      <c r="F5" s="4" t="str">
        <f>B13</f>
        <v>Beneficiary MBI ID</v>
      </c>
      <c r="G5" s="7" t="s">
        <v>22</v>
      </c>
      <c r="H5" s="7" t="s">
        <v>292</v>
      </c>
      <c r="I5" s="7" t="s">
        <v>293</v>
      </c>
      <c r="J5" s="12" t="s">
        <v>25</v>
      </c>
      <c r="K5" s="13"/>
      <c r="L5" s="18"/>
      <c r="M5" s="16" t="s">
        <v>28</v>
      </c>
      <c r="N5" s="16"/>
      <c r="O5" s="21"/>
      <c r="P5" s="24" t="s">
        <v>31</v>
      </c>
      <c r="Q5" s="24" t="s">
        <v>292</v>
      </c>
      <c r="R5" s="24" t="s">
        <v>294</v>
      </c>
      <c r="S5" s="28" t="s">
        <v>34</v>
      </c>
      <c r="T5" s="28" t="s">
        <v>292</v>
      </c>
      <c r="U5" s="37" t="s">
        <v>295</v>
      </c>
      <c r="V5" s="39" t="s">
        <v>296</v>
      </c>
      <c r="W5" s="39" t="s">
        <v>292</v>
      </c>
      <c r="X5" s="39" t="str">
        <f t="shared" ref="X5:X12" si="0">B68</f>
        <v>mbi_cclf8_flag</v>
      </c>
      <c r="Y5" s="41" t="s">
        <v>297</v>
      </c>
      <c r="Z5" s="41" t="s">
        <v>292</v>
      </c>
      <c r="AA5" s="44" t="str">
        <f t="shared" ref="AA5:AA19" si="1">B95</f>
        <v>aligned_palmr_va_flag</v>
      </c>
      <c r="AB5" s="45" t="s">
        <v>298</v>
      </c>
      <c r="AC5" s="45" t="s">
        <v>292</v>
      </c>
      <c r="AD5" s="45" t="str">
        <f>B12</f>
        <v>cohort_flag</v>
      </c>
    </row>
    <row r="6" spans="2:91" x14ac:dyDescent="0.3">
      <c r="B6" s="34" t="s">
        <v>299</v>
      </c>
      <c r="C6" s="34">
        <v>20240424</v>
      </c>
      <c r="D6" s="4" t="s">
        <v>39</v>
      </c>
      <c r="E6" s="4"/>
      <c r="F6" s="4" t="str">
        <f>B24</f>
        <v>Beneficiary First Name</v>
      </c>
      <c r="G6" s="7" t="s">
        <v>42</v>
      </c>
      <c r="H6" s="7"/>
      <c r="I6" s="7" t="str">
        <f>B31</f>
        <v>Beneficiary Line 1 Address</v>
      </c>
      <c r="J6" s="12" t="s">
        <v>18</v>
      </c>
      <c r="K6" s="12"/>
      <c r="L6" s="12"/>
      <c r="M6" s="16" t="s">
        <v>44</v>
      </c>
      <c r="N6" s="16"/>
      <c r="O6" s="21"/>
      <c r="P6" s="24" t="s">
        <v>46</v>
      </c>
      <c r="Q6" s="24" t="s">
        <v>292</v>
      </c>
      <c r="R6" s="24" t="s">
        <v>300</v>
      </c>
      <c r="S6" s="28" t="s">
        <v>48</v>
      </c>
      <c r="T6" s="28" t="s">
        <v>292</v>
      </c>
      <c r="U6" s="37" t="str">
        <f>B56</f>
        <v>riskscore_filedate</v>
      </c>
      <c r="V6" s="39" t="s">
        <v>301</v>
      </c>
      <c r="W6" s="39" t="s">
        <v>292</v>
      </c>
      <c r="X6" s="39" t="str">
        <f t="shared" si="0"/>
        <v>BENE_DUAL_STUS_CD</v>
      </c>
      <c r="Y6" s="41" t="s">
        <v>302</v>
      </c>
      <c r="Z6" s="41" t="s">
        <v>292</v>
      </c>
      <c r="AA6" s="44" t="str">
        <f t="shared" si="1"/>
        <v>aligned_palmr_va_inpi</v>
      </c>
      <c r="AB6" s="45" t="s">
        <v>303</v>
      </c>
      <c r="AC6" s="45" t="s">
        <v>292</v>
      </c>
      <c r="AD6" s="46" t="str">
        <f>B17</f>
        <v>Beneficiary Alignment Effective Start Date</v>
      </c>
      <c r="CL6" s="32"/>
      <c r="CM6" s="32"/>
    </row>
    <row r="7" spans="2:91" x14ac:dyDescent="0.3">
      <c r="B7" s="34" t="s">
        <v>304</v>
      </c>
      <c r="C7" s="34">
        <v>1</v>
      </c>
      <c r="D7" s="4" t="s">
        <v>50</v>
      </c>
      <c r="E7" s="4"/>
      <c r="F7" s="4" t="str">
        <f>B25</f>
        <v>Beneficiary Last Name</v>
      </c>
      <c r="G7" s="7" t="s">
        <v>53</v>
      </c>
      <c r="H7" s="7"/>
      <c r="I7" s="7" t="str">
        <f>B32</f>
        <v>Beneficiary Line 2 Address</v>
      </c>
      <c r="J7" s="12" t="s">
        <v>56</v>
      </c>
      <c r="K7" s="13"/>
      <c r="L7" s="18"/>
      <c r="M7" s="16" t="s">
        <v>58</v>
      </c>
      <c r="N7" s="16"/>
      <c r="O7" s="21"/>
      <c r="P7" s="24" t="s">
        <v>62</v>
      </c>
      <c r="Q7" s="24" t="s">
        <v>292</v>
      </c>
      <c r="R7" s="24" t="str">
        <f>B13</f>
        <v>Beneficiary MBI ID</v>
      </c>
      <c r="S7" s="28" t="s">
        <v>66</v>
      </c>
      <c r="T7" s="28" t="s">
        <v>292</v>
      </c>
      <c r="U7" s="37" t="str">
        <f>B57</f>
        <v>riskscore_yrmo</v>
      </c>
      <c r="V7" s="39" t="s">
        <v>305</v>
      </c>
      <c r="W7" s="39" t="s">
        <v>292</v>
      </c>
      <c r="X7" s="39" t="str">
        <f t="shared" si="0"/>
        <v>BENE_DUAL_STUS_CD_desc_short</v>
      </c>
      <c r="Y7" s="41" t="s">
        <v>306</v>
      </c>
      <c r="Z7" s="41" t="s">
        <v>292</v>
      </c>
      <c r="AA7" s="44" t="str">
        <f t="shared" si="1"/>
        <v>aligned_palmr_va_tin</v>
      </c>
      <c r="AB7" s="45" t="s">
        <v>307</v>
      </c>
      <c r="AC7" s="45" t="s">
        <v>292</v>
      </c>
      <c r="AD7" s="45" t="str">
        <f>B18</f>
        <v>Beneficiary Alignment Effective Termination Date</v>
      </c>
    </row>
    <row r="8" spans="2:91" ht="57.6" x14ac:dyDescent="0.3">
      <c r="B8" s="34" t="s">
        <v>308</v>
      </c>
      <c r="C8" s="34" t="s">
        <v>309</v>
      </c>
      <c r="D8" s="4" t="s">
        <v>68</v>
      </c>
      <c r="E8" s="4"/>
      <c r="F8" s="4"/>
      <c r="G8" s="7" t="s">
        <v>71</v>
      </c>
      <c r="H8" s="7"/>
      <c r="I8" s="7" t="str">
        <f>B37</f>
        <v>Beneficiary City</v>
      </c>
      <c r="J8" s="12" t="s">
        <v>74</v>
      </c>
      <c r="K8" s="12"/>
      <c r="L8" s="18"/>
      <c r="M8" s="16" t="s">
        <v>74</v>
      </c>
      <c r="N8" s="16"/>
      <c r="O8" s="21"/>
      <c r="P8" s="24" t="s">
        <v>76</v>
      </c>
      <c r="Q8" s="24"/>
      <c r="R8" s="47" t="s">
        <v>310</v>
      </c>
      <c r="S8" s="28" t="s">
        <v>78</v>
      </c>
      <c r="T8" s="28" t="s">
        <v>292</v>
      </c>
      <c r="U8" s="37" t="str">
        <f>B58</f>
        <v>riskscore_raw</v>
      </c>
      <c r="V8" s="39" t="s">
        <v>311</v>
      </c>
      <c r="W8" s="39" t="s">
        <v>292</v>
      </c>
      <c r="X8" s="39" t="str">
        <f t="shared" si="0"/>
        <v>BENE_DUAL_STUS_CD_desc_long</v>
      </c>
      <c r="Y8" s="41" t="s">
        <v>312</v>
      </c>
      <c r="Z8" s="41" t="s">
        <v>292</v>
      </c>
      <c r="AA8" s="44" t="str">
        <f t="shared" si="1"/>
        <v>aligned_palmr_va_type</v>
      </c>
      <c r="AB8" s="45" t="s">
        <v>313</v>
      </c>
      <c r="AC8" s="45" t="s">
        <v>292</v>
      </c>
      <c r="AD8" s="45" t="str">
        <f>B19</f>
        <v>Beneficiary Date of Death</v>
      </c>
    </row>
    <row r="9" spans="2:91" x14ac:dyDescent="0.3">
      <c r="B9" s="34" t="s">
        <v>314</v>
      </c>
      <c r="C9" s="34" t="s">
        <v>315</v>
      </c>
      <c r="D9" s="4" t="s">
        <v>81</v>
      </c>
      <c r="E9" s="4"/>
      <c r="F9" s="4"/>
      <c r="G9" s="7" t="s">
        <v>83</v>
      </c>
      <c r="H9" s="7"/>
      <c r="I9" s="7" t="str">
        <f>B38</f>
        <v>Beneficiary USPS State Code</v>
      </c>
      <c r="J9" s="12" t="s">
        <v>85</v>
      </c>
      <c r="K9" s="12"/>
      <c r="L9" s="18"/>
      <c r="M9" s="16" t="s">
        <v>85</v>
      </c>
      <c r="N9" s="16"/>
      <c r="O9" s="21"/>
      <c r="P9" s="24" t="s">
        <v>87</v>
      </c>
      <c r="Q9" s="24"/>
      <c r="R9" s="24"/>
      <c r="S9" s="28" t="s">
        <v>91</v>
      </c>
      <c r="T9" s="28" t="s">
        <v>292</v>
      </c>
      <c r="U9" s="37" t="str">
        <f>B59</f>
        <v>riskscore_norm</v>
      </c>
      <c r="V9" s="39" t="s">
        <v>316</v>
      </c>
      <c r="W9" s="39" t="s">
        <v>292</v>
      </c>
      <c r="X9" s="39" t="str">
        <f t="shared" si="0"/>
        <v>BENE_DUAL_STUS_CD_benefit_type</v>
      </c>
      <c r="Y9" s="41" t="s">
        <v>317</v>
      </c>
      <c r="Z9" s="41" t="s">
        <v>292</v>
      </c>
      <c r="AA9" s="44" t="str">
        <f t="shared" si="1"/>
        <v>aligned_palmr_va_filedate</v>
      </c>
      <c r="AB9" s="45" t="s">
        <v>318</v>
      </c>
      <c r="AC9" s="45" t="s">
        <v>292</v>
      </c>
      <c r="AD9" s="45" t="str">
        <f>B20</f>
        <v>Alignment Status</v>
      </c>
    </row>
    <row r="10" spans="2:91" x14ac:dyDescent="0.3">
      <c r="B10" s="34" t="s">
        <v>319</v>
      </c>
      <c r="C10" s="34">
        <v>2023</v>
      </c>
      <c r="D10" s="4" t="s">
        <v>92</v>
      </c>
      <c r="E10" s="4"/>
      <c r="F10" s="4" t="str">
        <f>B26</f>
        <v>Beneficiary Date of Birth</v>
      </c>
      <c r="G10" s="7" t="s">
        <v>95</v>
      </c>
      <c r="H10" s="7"/>
      <c r="I10" s="7" t="str">
        <f>B39</f>
        <v>Beneficiary Zip 5</v>
      </c>
      <c r="J10" s="12" t="s">
        <v>98</v>
      </c>
      <c r="K10" s="12"/>
      <c r="L10" s="18"/>
      <c r="M10" s="16" t="s">
        <v>98</v>
      </c>
      <c r="N10" s="16"/>
      <c r="O10" s="21"/>
      <c r="P10" s="24" t="s">
        <v>100</v>
      </c>
      <c r="Q10" s="24"/>
      <c r="R10" s="24"/>
      <c r="S10" s="28" t="s">
        <v>102</v>
      </c>
      <c r="T10" s="28" t="s">
        <v>292</v>
      </c>
      <c r="U10" s="37" t="str">
        <f t="shared" ref="U10:U16" si="2">B61</f>
        <v>County Name</v>
      </c>
      <c r="V10" s="39" t="s">
        <v>320</v>
      </c>
      <c r="W10" s="39" t="s">
        <v>292</v>
      </c>
      <c r="X10" s="39" t="str">
        <f t="shared" si="0"/>
        <v>BENE_DUAL_STUS_CD_category</v>
      </c>
      <c r="Y10" s="41" t="s">
        <v>321</v>
      </c>
      <c r="Z10" s="41" t="s">
        <v>292</v>
      </c>
      <c r="AA10" s="44" t="str">
        <f t="shared" si="1"/>
        <v>aligned_palmr_clm_primarycare_flag</v>
      </c>
      <c r="AB10" s="45" t="s">
        <v>314</v>
      </c>
      <c r="AC10" s="45" t="s">
        <v>292</v>
      </c>
      <c r="AD10" s="48" t="str">
        <f>B9</f>
        <v>yr_mo</v>
      </c>
    </row>
    <row r="11" spans="2:91" x14ac:dyDescent="0.3">
      <c r="B11" s="34" t="s">
        <v>322</v>
      </c>
      <c r="C11" s="34">
        <v>1</v>
      </c>
      <c r="D11" s="4" t="s">
        <v>103</v>
      </c>
      <c r="E11" s="4"/>
      <c r="F11" s="4" t="str">
        <f>B28</f>
        <v>Beneficiary Gender</v>
      </c>
      <c r="G11" s="7" t="s">
        <v>106</v>
      </c>
      <c r="H11" s="7"/>
      <c r="I11" s="7"/>
      <c r="J11" s="12" t="s">
        <v>108</v>
      </c>
      <c r="K11" s="12"/>
      <c r="L11" s="18"/>
      <c r="M11" s="16" t="s">
        <v>18</v>
      </c>
      <c r="N11" s="16"/>
      <c r="O11" s="21"/>
      <c r="P11" s="24" t="s">
        <v>109</v>
      </c>
      <c r="Q11" s="24" t="s">
        <v>292</v>
      </c>
      <c r="R11" s="24" t="s">
        <v>295</v>
      </c>
      <c r="S11" s="28" t="s">
        <v>112</v>
      </c>
      <c r="T11" s="28" t="s">
        <v>292</v>
      </c>
      <c r="U11" s="37" t="str">
        <f t="shared" si="2"/>
        <v>Benchmark Year</v>
      </c>
      <c r="V11" s="39" t="s">
        <v>323</v>
      </c>
      <c r="W11" s="39" t="s">
        <v>292</v>
      </c>
      <c r="X11" s="39" t="str">
        <f t="shared" si="0"/>
        <v>BENE_MDCR_STUS_CD</v>
      </c>
      <c r="Y11" s="41" t="s">
        <v>324</v>
      </c>
      <c r="Z11" s="41" t="s">
        <v>292</v>
      </c>
      <c r="AA11" s="44" t="str">
        <f t="shared" si="1"/>
        <v>aligned_palmr_clm_primarycare_inpi</v>
      </c>
      <c r="AB11" s="45" t="s">
        <v>325</v>
      </c>
      <c r="AC11" s="45" t="s">
        <v>292</v>
      </c>
      <c r="AD11" s="45" t="str">
        <f>B21</f>
        <v>alignment_status_description</v>
      </c>
    </row>
    <row r="12" spans="2:91" x14ac:dyDescent="0.3">
      <c r="B12" s="34" t="s">
        <v>298</v>
      </c>
      <c r="C12" s="34" t="s">
        <v>326</v>
      </c>
      <c r="D12" s="4" t="s">
        <v>114</v>
      </c>
      <c r="E12" s="4"/>
      <c r="F12" s="4" t="str">
        <f>B30</f>
        <v>race_ethnicity_description</v>
      </c>
      <c r="G12" s="7" t="s">
        <v>74</v>
      </c>
      <c r="H12" s="7"/>
      <c r="I12" s="7"/>
      <c r="J12" s="12" t="s">
        <v>117</v>
      </c>
      <c r="K12" s="12"/>
      <c r="L12" s="12"/>
      <c r="M12" s="16" t="s">
        <v>108</v>
      </c>
      <c r="N12" s="16"/>
      <c r="O12" s="21"/>
      <c r="P12" s="24" t="s">
        <v>120</v>
      </c>
      <c r="Q12" s="24" t="s">
        <v>292</v>
      </c>
      <c r="R12" s="24" t="str">
        <f>B17</f>
        <v>Beneficiary Alignment Effective Start Date</v>
      </c>
      <c r="S12" s="28" t="s">
        <v>122</v>
      </c>
      <c r="T12" s="28" t="s">
        <v>292</v>
      </c>
      <c r="U12" s="37" t="str">
        <f t="shared" si="2"/>
        <v>Benchmark Type</v>
      </c>
      <c r="V12" s="39" t="s">
        <v>327</v>
      </c>
      <c r="W12" s="39" t="s">
        <v>292</v>
      </c>
      <c r="X12" s="39" t="str">
        <f t="shared" si="0"/>
        <v>BENE_MDCR_STUS</v>
      </c>
      <c r="Y12" s="41" t="s">
        <v>328</v>
      </c>
      <c r="Z12" s="41" t="s">
        <v>292</v>
      </c>
      <c r="AA12" s="44" t="str">
        <f t="shared" si="1"/>
        <v>aligned_palmr_clm_primarycare_tin</v>
      </c>
      <c r="AB12" s="45" t="s">
        <v>329</v>
      </c>
      <c r="AC12" s="45" t="s">
        <v>292</v>
      </c>
      <c r="AD12" s="45" t="str">
        <f>B22</f>
        <v>alignment_with_death_month</v>
      </c>
    </row>
    <row r="13" spans="2:91" x14ac:dyDescent="0.3">
      <c r="B13" s="34" t="s">
        <v>330</v>
      </c>
      <c r="C13" s="34" t="s">
        <v>331</v>
      </c>
      <c r="D13" s="4" t="s">
        <v>123</v>
      </c>
      <c r="E13" s="4"/>
      <c r="F13" s="4"/>
      <c r="G13" s="7" t="s">
        <v>125</v>
      </c>
      <c r="H13" s="7"/>
      <c r="I13" s="7"/>
      <c r="J13" s="12" t="s">
        <v>128</v>
      </c>
      <c r="K13" s="12"/>
      <c r="L13" s="18"/>
      <c r="M13" s="16" t="s">
        <v>117</v>
      </c>
      <c r="N13" s="16"/>
      <c r="O13" s="21"/>
      <c r="P13" s="24" t="s">
        <v>132</v>
      </c>
      <c r="Q13" s="24" t="s">
        <v>292</v>
      </c>
      <c r="R13" s="24" t="str">
        <f>B18</f>
        <v>Beneficiary Alignment Effective Termination Date</v>
      </c>
      <c r="S13" s="28" t="s">
        <v>134</v>
      </c>
      <c r="T13" s="28" t="s">
        <v>292</v>
      </c>
      <c r="U13" s="37" t="str">
        <f t="shared" si="2"/>
        <v>Benchmark Period</v>
      </c>
      <c r="V13" s="39" t="s">
        <v>332</v>
      </c>
      <c r="W13" s="39"/>
      <c r="X13" s="39"/>
      <c r="Y13" s="41" t="s">
        <v>333</v>
      </c>
      <c r="Z13" s="41" t="s">
        <v>292</v>
      </c>
      <c r="AA13" s="44" t="str">
        <f t="shared" si="1"/>
        <v>aligned_palmr_clm_primarycare_paytotal</v>
      </c>
      <c r="AB13" s="45" t="s">
        <v>334</v>
      </c>
      <c r="AC13" s="45" t="s">
        <v>292</v>
      </c>
      <c r="AD13" s="45" t="str">
        <f>B23</f>
        <v>alignment_restatement_flag</v>
      </c>
    </row>
    <row r="14" spans="2:91" x14ac:dyDescent="0.3">
      <c r="B14" s="34" t="s">
        <v>335</v>
      </c>
      <c r="C14" s="34" t="s">
        <v>331</v>
      </c>
      <c r="D14" s="4" t="s">
        <v>136</v>
      </c>
      <c r="E14" s="4"/>
      <c r="F14" s="4"/>
      <c r="G14" s="7" t="s">
        <v>138</v>
      </c>
      <c r="H14" s="7"/>
      <c r="I14" s="7" t="str">
        <f>B41</f>
        <v>Beneficiary State-County of Residence SSA</v>
      </c>
      <c r="J14" s="12" t="s">
        <v>140</v>
      </c>
      <c r="K14" s="12"/>
      <c r="L14" s="18"/>
      <c r="M14" s="16" t="s">
        <v>128</v>
      </c>
      <c r="N14" s="16"/>
      <c r="O14" s="21"/>
      <c r="P14" s="24" t="s">
        <v>85</v>
      </c>
      <c r="Q14" s="24"/>
      <c r="R14" s="24"/>
      <c r="S14" s="28" t="s">
        <v>143</v>
      </c>
      <c r="T14" s="28" t="s">
        <v>292</v>
      </c>
      <c r="U14" s="37" t="str">
        <f t="shared" si="2"/>
        <v>County Rate</v>
      </c>
      <c r="V14" s="39" t="s">
        <v>336</v>
      </c>
      <c r="W14" s="39"/>
      <c r="X14" s="39"/>
      <c r="Y14" s="41" t="s">
        <v>337</v>
      </c>
      <c r="Z14" s="41" t="s">
        <v>292</v>
      </c>
      <c r="AA14" s="44" t="str">
        <f t="shared" si="1"/>
        <v>aligned_palmr_clm_primarycare_filedate</v>
      </c>
      <c r="AB14" s="45" t="s">
        <v>338</v>
      </c>
      <c r="AC14" s="45" t="s">
        <v>292</v>
      </c>
      <c r="AD14" s="45" t="str">
        <f>B43</f>
        <v>Beneficiary Eligibility Alignment Year 1</v>
      </c>
    </row>
    <row r="15" spans="2:91" x14ac:dyDescent="0.3">
      <c r="B15" s="34" t="s">
        <v>339</v>
      </c>
      <c r="C15" s="34" t="s">
        <v>38</v>
      </c>
      <c r="D15" s="4" t="s">
        <v>145</v>
      </c>
      <c r="E15" s="4"/>
      <c r="F15" s="4"/>
      <c r="G15" s="7" t="s">
        <v>146</v>
      </c>
      <c r="H15" s="7"/>
      <c r="I15" s="7" t="str">
        <f>B42</f>
        <v>Beneficiary State-County of Residence FIPS</v>
      </c>
      <c r="J15" s="12" t="s">
        <v>148</v>
      </c>
      <c r="K15" s="12"/>
      <c r="L15" s="18"/>
      <c r="M15" s="16" t="s">
        <v>140</v>
      </c>
      <c r="N15" s="16"/>
      <c r="O15" s="21"/>
      <c r="P15" s="24" t="s">
        <v>98</v>
      </c>
      <c r="Q15" s="24"/>
      <c r="R15" s="24"/>
      <c r="S15" s="28" t="s">
        <v>150</v>
      </c>
      <c r="T15" s="28" t="s">
        <v>292</v>
      </c>
      <c r="U15" s="37" t="str">
        <f t="shared" si="2"/>
        <v>county_rate_fallback_flag</v>
      </c>
      <c r="V15" s="39" t="s">
        <v>340</v>
      </c>
      <c r="W15" s="39"/>
      <c r="X15" s="39"/>
      <c r="Y15" s="41" t="s">
        <v>341</v>
      </c>
      <c r="Z15" s="41" t="s">
        <v>292</v>
      </c>
      <c r="AA15" s="44" t="str">
        <f t="shared" si="1"/>
        <v>aligned_palmr_clm_other_flag</v>
      </c>
      <c r="AB15" s="45" t="s">
        <v>342</v>
      </c>
      <c r="AC15" s="45" t="s">
        <v>292</v>
      </c>
      <c r="AD15" s="45" t="str">
        <f>B44</f>
        <v>Beneficiary Eligibility Alignment Year 2</v>
      </c>
    </row>
    <row r="16" spans="2:91" x14ac:dyDescent="0.3">
      <c r="B16" s="34" t="s">
        <v>343</v>
      </c>
      <c r="C16" s="34" t="s">
        <v>38</v>
      </c>
      <c r="D16" s="4" t="s">
        <v>151</v>
      </c>
      <c r="E16" s="4"/>
      <c r="F16" s="4"/>
      <c r="G16" s="7" t="s">
        <v>153</v>
      </c>
      <c r="H16" s="7"/>
      <c r="I16" s="7" t="str">
        <f>B40</f>
        <v>Beneficiary Zip 4</v>
      </c>
      <c r="J16" s="12" t="s">
        <v>155</v>
      </c>
      <c r="K16" s="12"/>
      <c r="L16" s="18"/>
      <c r="M16" s="16" t="s">
        <v>148</v>
      </c>
      <c r="N16" s="16"/>
      <c r="O16" s="21"/>
      <c r="P16" s="24" t="s">
        <v>18</v>
      </c>
      <c r="Q16" s="24" t="s">
        <v>292</v>
      </c>
      <c r="R16" s="24" t="str">
        <f>B13</f>
        <v>Beneficiary MBI ID</v>
      </c>
      <c r="S16" s="28" t="s">
        <v>157</v>
      </c>
      <c r="T16" s="28" t="s">
        <v>292</v>
      </c>
      <c r="U16" s="37" t="str">
        <f t="shared" si="2"/>
        <v>bmark_mmo</v>
      </c>
      <c r="V16" s="39" t="s">
        <v>344</v>
      </c>
      <c r="W16" s="39"/>
      <c r="X16" s="39"/>
      <c r="Y16" s="41" t="s">
        <v>345</v>
      </c>
      <c r="Z16" s="41" t="s">
        <v>292</v>
      </c>
      <c r="AA16" s="44" t="str">
        <f t="shared" si="1"/>
        <v>aligned_palmr_clm_other_inpi</v>
      </c>
      <c r="AB16" s="45" t="s">
        <v>346</v>
      </c>
      <c r="AC16" s="45" t="s">
        <v>292</v>
      </c>
      <c r="AD16" s="45" t="str">
        <f>B45</f>
        <v>Beneficiary Part D Coverage Alignment Year 1</v>
      </c>
    </row>
    <row r="17" spans="2:30" x14ac:dyDescent="0.3">
      <c r="B17" s="34" t="s">
        <v>347</v>
      </c>
      <c r="C17" s="35">
        <v>44927</v>
      </c>
      <c r="D17" s="4" t="s">
        <v>159</v>
      </c>
      <c r="E17" s="4"/>
      <c r="F17" s="4"/>
      <c r="G17" s="7" t="s">
        <v>161</v>
      </c>
      <c r="H17" s="7"/>
      <c r="I17" s="7"/>
      <c r="J17" s="12" t="s">
        <v>163</v>
      </c>
      <c r="K17" s="12"/>
      <c r="L17" s="18"/>
      <c r="M17" s="16" t="s">
        <v>155</v>
      </c>
      <c r="N17" s="16"/>
      <c r="O17" s="21"/>
      <c r="P17" s="24" t="s">
        <v>108</v>
      </c>
      <c r="Q17" s="24"/>
      <c r="R17" s="24"/>
      <c r="S17" s="28" t="s">
        <v>85</v>
      </c>
      <c r="T17" s="28"/>
      <c r="U17" s="37"/>
      <c r="V17" s="39" t="s">
        <v>348</v>
      </c>
      <c r="W17" s="39"/>
      <c r="X17" s="39"/>
      <c r="Y17" s="41" t="s">
        <v>349</v>
      </c>
      <c r="Z17" s="41" t="s">
        <v>292</v>
      </c>
      <c r="AA17" s="44" t="str">
        <f t="shared" si="1"/>
        <v>aligned_palmr_clm_other_tin</v>
      </c>
      <c r="AB17" s="45" t="s">
        <v>350</v>
      </c>
      <c r="AC17" s="45" t="s">
        <v>292</v>
      </c>
      <c r="AD17" s="45" t="str">
        <f>B46</f>
        <v>Beneficiary Part D Coverage Alignment Year 2</v>
      </c>
    </row>
    <row r="18" spans="2:30" x14ac:dyDescent="0.3">
      <c r="B18" s="34" t="s">
        <v>351</v>
      </c>
      <c r="C18" s="34" t="s">
        <v>38</v>
      </c>
      <c r="D18" s="4" t="s">
        <v>167</v>
      </c>
      <c r="E18" s="4"/>
      <c r="F18" s="4"/>
      <c r="G18" s="7" t="s">
        <v>85</v>
      </c>
      <c r="H18" s="7"/>
      <c r="I18" s="7"/>
      <c r="M18" s="16" t="s">
        <v>163</v>
      </c>
      <c r="N18" s="16"/>
      <c r="O18" s="21"/>
      <c r="P18" s="24" t="s">
        <v>117</v>
      </c>
      <c r="Q18" s="24" t="s">
        <v>292</v>
      </c>
      <c r="R18" s="24" t="s">
        <v>352</v>
      </c>
      <c r="S18" s="28" t="s">
        <v>98</v>
      </c>
      <c r="T18" s="28"/>
      <c r="U18" s="37"/>
      <c r="V18" s="39" t="s">
        <v>353</v>
      </c>
      <c r="W18" s="39"/>
      <c r="X18" s="39"/>
      <c r="Y18" s="41" t="s">
        <v>354</v>
      </c>
      <c r="Z18" s="41" t="s">
        <v>292</v>
      </c>
      <c r="AA18" s="44" t="str">
        <f t="shared" si="1"/>
        <v>aligned_palmr_clm_other_paytotal</v>
      </c>
      <c r="AB18" s="45" t="s">
        <v>355</v>
      </c>
      <c r="AC18" s="45" t="s">
        <v>292</v>
      </c>
      <c r="AD18" s="45" t="str">
        <f>B47</f>
        <v>Newly Aligned Beneficiary Flag</v>
      </c>
    </row>
    <row r="19" spans="2:30" x14ac:dyDescent="0.3">
      <c r="B19" s="34" t="s">
        <v>356</v>
      </c>
      <c r="C19" s="34" t="s">
        <v>38</v>
      </c>
      <c r="D19" s="4" t="s">
        <v>171</v>
      </c>
      <c r="E19" s="4"/>
      <c r="F19" s="4" t="str">
        <f>B19</f>
        <v>Beneficiary Date of Death</v>
      </c>
      <c r="G19" s="7" t="s">
        <v>98</v>
      </c>
      <c r="H19" s="7"/>
      <c r="I19" s="7"/>
      <c r="P19" s="24" t="s">
        <v>128</v>
      </c>
      <c r="Q19" s="24"/>
      <c r="R19" s="24"/>
      <c r="S19" s="28" t="s">
        <v>18</v>
      </c>
      <c r="T19" s="28" t="s">
        <v>292</v>
      </c>
      <c r="U19" s="37" t="str">
        <f>B13</f>
        <v>Beneficiary MBI ID</v>
      </c>
      <c r="V19" s="39" t="s">
        <v>357</v>
      </c>
      <c r="W19" s="39"/>
      <c r="X19" s="39"/>
      <c r="Y19" s="41" t="s">
        <v>358</v>
      </c>
      <c r="Z19" s="41" t="s">
        <v>292</v>
      </c>
      <c r="AA19" s="44" t="str">
        <f t="shared" si="1"/>
        <v>aligned_palmr_clm_other_filedate</v>
      </c>
      <c r="AB19" s="45" t="s">
        <v>359</v>
      </c>
      <c r="AC19" s="45"/>
      <c r="AD19" s="45"/>
    </row>
    <row r="20" spans="2:30" x14ac:dyDescent="0.3">
      <c r="B20" s="34" t="s">
        <v>360</v>
      </c>
      <c r="C20" s="34" t="s">
        <v>361</v>
      </c>
      <c r="D20" s="4" t="s">
        <v>175</v>
      </c>
      <c r="E20" s="4"/>
      <c r="F20" s="4"/>
      <c r="G20" s="7" t="s">
        <v>18</v>
      </c>
      <c r="H20" s="7"/>
      <c r="I20" s="7"/>
      <c r="P20" s="24" t="s">
        <v>140</v>
      </c>
      <c r="Q20" s="24"/>
      <c r="R20" s="24"/>
      <c r="S20" s="28" t="s">
        <v>108</v>
      </c>
      <c r="T20" s="28"/>
      <c r="U20" s="37"/>
      <c r="V20" s="39" t="s">
        <v>362</v>
      </c>
      <c r="W20" s="39" t="s">
        <v>292</v>
      </c>
      <c r="X20" s="39" t="str">
        <f>B76</f>
        <v>ESRD_flag</v>
      </c>
      <c r="Y20" s="41" t="s">
        <v>85</v>
      </c>
      <c r="Z20" s="41"/>
      <c r="AA20" s="44"/>
      <c r="AB20" s="45" t="s">
        <v>363</v>
      </c>
      <c r="AC20" s="45" t="s">
        <v>292</v>
      </c>
      <c r="AD20" s="45" t="str">
        <f>B48</f>
        <v>Prospective Plus Alignment</v>
      </c>
    </row>
    <row r="21" spans="2:30" x14ac:dyDescent="0.3">
      <c r="B21" s="34" t="s">
        <v>325</v>
      </c>
      <c r="C21" s="34" t="s">
        <v>364</v>
      </c>
      <c r="D21" s="4" t="s">
        <v>178</v>
      </c>
      <c r="E21" s="4"/>
      <c r="F21" s="4"/>
      <c r="G21" s="7" t="s">
        <v>108</v>
      </c>
      <c r="H21" s="7"/>
      <c r="I21" s="7"/>
      <c r="P21" s="24" t="s">
        <v>148</v>
      </c>
      <c r="Q21" s="24"/>
      <c r="R21" s="24"/>
      <c r="S21" s="28" t="s">
        <v>117</v>
      </c>
      <c r="T21" s="28" t="s">
        <v>292</v>
      </c>
      <c r="U21" s="37" t="s">
        <v>365</v>
      </c>
      <c r="V21" s="39" t="s">
        <v>366</v>
      </c>
      <c r="W21" s="39" t="s">
        <v>292</v>
      </c>
      <c r="X21" s="39" t="str">
        <f>B77</f>
        <v>aged_flag</v>
      </c>
      <c r="Y21" s="41" t="s">
        <v>98</v>
      </c>
      <c r="Z21" s="41"/>
      <c r="AA21" s="44"/>
      <c r="AB21" s="45" t="s">
        <v>367</v>
      </c>
      <c r="AC21" s="45" t="s">
        <v>292</v>
      </c>
      <c r="AD21" s="45" t="str">
        <f>B49</f>
        <v>Claim Based Alignment Indicator</v>
      </c>
    </row>
    <row r="22" spans="2:30" x14ac:dyDescent="0.3">
      <c r="B22" s="34" t="s">
        <v>329</v>
      </c>
      <c r="C22" s="34">
        <v>1</v>
      </c>
      <c r="D22" s="4" t="s">
        <v>181</v>
      </c>
      <c r="E22" s="4"/>
      <c r="F22" s="4"/>
      <c r="G22" s="7" t="s">
        <v>117</v>
      </c>
      <c r="H22" s="7"/>
      <c r="I22" s="7" t="str">
        <f>B13</f>
        <v>Beneficiary MBI ID</v>
      </c>
      <c r="P22" s="24" t="s">
        <v>155</v>
      </c>
      <c r="Q22" s="24"/>
      <c r="R22" s="24"/>
      <c r="S22" s="28" t="s">
        <v>128</v>
      </c>
      <c r="T22" s="28"/>
      <c r="U22" s="37"/>
      <c r="V22" s="39" t="s">
        <v>368</v>
      </c>
      <c r="W22" s="39" t="s">
        <v>292</v>
      </c>
      <c r="X22" s="39" t="str">
        <f>B78</f>
        <v>disabled_flag</v>
      </c>
      <c r="Y22" s="41" t="s">
        <v>18</v>
      </c>
      <c r="Z22" s="41" t="s">
        <v>292</v>
      </c>
      <c r="AA22" s="44" t="str">
        <f>B13</f>
        <v>Beneficiary MBI ID</v>
      </c>
      <c r="AB22" s="45" t="s">
        <v>369</v>
      </c>
      <c r="AC22" s="45" t="s">
        <v>292</v>
      </c>
      <c r="AD22" s="45" t="str">
        <f>B50</f>
        <v>Voluntary Alignment Type</v>
      </c>
    </row>
    <row r="23" spans="2:30" x14ac:dyDescent="0.3">
      <c r="B23" s="34" t="s">
        <v>334</v>
      </c>
      <c r="C23" s="34">
        <v>1</v>
      </c>
      <c r="D23" s="4" t="s">
        <v>185</v>
      </c>
      <c r="E23" s="4"/>
      <c r="F23" s="4"/>
      <c r="G23" s="7" t="s">
        <v>128</v>
      </c>
      <c r="H23" s="7"/>
      <c r="I23" s="7" t="s">
        <v>352</v>
      </c>
      <c r="P23" s="24" t="s">
        <v>163</v>
      </c>
      <c r="Q23" s="24"/>
      <c r="R23" s="24"/>
      <c r="S23" s="28" t="s">
        <v>140</v>
      </c>
      <c r="T23" s="28"/>
      <c r="U23" s="37"/>
      <c r="V23" s="39" t="s">
        <v>370</v>
      </c>
      <c r="W23" s="39" t="s">
        <v>292</v>
      </c>
      <c r="X23" s="39" t="str">
        <f>B79</f>
        <v>aged_or_disabled_flag</v>
      </c>
      <c r="Y23" s="41" t="s">
        <v>108</v>
      </c>
      <c r="Z23" s="41"/>
      <c r="AA23" s="44"/>
      <c r="AB23" s="45" t="s">
        <v>371</v>
      </c>
      <c r="AC23" s="45"/>
      <c r="AD23" s="45"/>
    </row>
    <row r="24" spans="2:30" x14ac:dyDescent="0.3">
      <c r="B24" s="34" t="s">
        <v>372</v>
      </c>
      <c r="C24" s="34" t="s">
        <v>373</v>
      </c>
      <c r="D24" s="4" t="s">
        <v>189</v>
      </c>
      <c r="E24" s="4"/>
      <c r="F24" s="4"/>
      <c r="G24" s="7" t="s">
        <v>140</v>
      </c>
      <c r="H24" s="7"/>
      <c r="I24" s="7"/>
      <c r="P24" s="56" t="s">
        <v>374</v>
      </c>
      <c r="Q24" s="57"/>
      <c r="R24" s="58"/>
      <c r="S24" s="28" t="s">
        <v>148</v>
      </c>
      <c r="T24" s="28"/>
      <c r="U24" s="37"/>
      <c r="V24" s="39" t="s">
        <v>85</v>
      </c>
      <c r="W24" s="39"/>
      <c r="X24" s="39"/>
      <c r="Y24" s="41" t="s">
        <v>117</v>
      </c>
      <c r="Z24" s="41" t="s">
        <v>292</v>
      </c>
      <c r="AA24" s="44" t="s">
        <v>352</v>
      </c>
      <c r="AB24" s="45" t="s">
        <v>375</v>
      </c>
      <c r="AC24" s="45"/>
      <c r="AD24" s="45"/>
    </row>
    <row r="25" spans="2:30" x14ac:dyDescent="0.3">
      <c r="B25" s="34" t="s">
        <v>376</v>
      </c>
      <c r="C25" s="34" t="s">
        <v>377</v>
      </c>
      <c r="D25" s="4" t="s">
        <v>193</v>
      </c>
      <c r="E25" s="4"/>
      <c r="F25" s="4"/>
      <c r="G25" s="7" t="s">
        <v>148</v>
      </c>
      <c r="H25" s="7"/>
      <c r="I25" s="7"/>
      <c r="P25" s="24" t="s">
        <v>195</v>
      </c>
      <c r="Q25" s="24" t="s">
        <v>292</v>
      </c>
      <c r="R25" s="24" t="str">
        <f>B90</f>
        <v>aligned_tin_name</v>
      </c>
      <c r="S25" s="28" t="s">
        <v>155</v>
      </c>
      <c r="T25" s="28"/>
      <c r="U25" s="37"/>
      <c r="V25" s="39" t="s">
        <v>98</v>
      </c>
      <c r="W25" s="39"/>
      <c r="X25" s="39"/>
      <c r="Y25" s="41" t="s">
        <v>128</v>
      </c>
      <c r="Z25" s="41"/>
      <c r="AA25" s="44"/>
      <c r="AB25" s="45" t="s">
        <v>378</v>
      </c>
      <c r="AC25" s="45"/>
      <c r="AD25" s="45"/>
    </row>
    <row r="26" spans="2:30" x14ac:dyDescent="0.3">
      <c r="B26" s="34" t="s">
        <v>379</v>
      </c>
      <c r="C26" s="35">
        <v>16228</v>
      </c>
      <c r="D26" s="4" t="s">
        <v>197</v>
      </c>
      <c r="E26" s="4"/>
      <c r="F26" s="4"/>
      <c r="G26" s="7" t="s">
        <v>155</v>
      </c>
      <c r="H26" s="7"/>
      <c r="I26" s="7"/>
      <c r="P26" s="24" t="s">
        <v>199</v>
      </c>
      <c r="Q26" s="24" t="s">
        <v>292</v>
      </c>
      <c r="R26" s="24" t="str">
        <f>B89</f>
        <v>aligned_tin</v>
      </c>
      <c r="S26" s="28" t="s">
        <v>163</v>
      </c>
      <c r="T26" s="28"/>
      <c r="U26" s="37"/>
      <c r="V26" s="39" t="s">
        <v>18</v>
      </c>
      <c r="W26" s="39" t="s">
        <v>292</v>
      </c>
      <c r="X26" s="39" t="str">
        <f>B13</f>
        <v>Beneficiary MBI ID</v>
      </c>
      <c r="Y26" s="41" t="s">
        <v>140</v>
      </c>
      <c r="Z26" s="41"/>
      <c r="AA26" s="44"/>
      <c r="AB26" s="45" t="s">
        <v>380</v>
      </c>
      <c r="AC26" s="45"/>
      <c r="AD26" s="45"/>
    </row>
    <row r="27" spans="2:30" x14ac:dyDescent="0.3">
      <c r="B27" s="34" t="s">
        <v>381</v>
      </c>
      <c r="C27" s="34">
        <v>79</v>
      </c>
      <c r="D27" s="4" t="s">
        <v>85</v>
      </c>
      <c r="E27" s="4"/>
      <c r="F27" s="4"/>
      <c r="G27" s="7" t="s">
        <v>163</v>
      </c>
      <c r="H27" s="7"/>
      <c r="I27" s="7"/>
      <c r="P27" s="24" t="s">
        <v>202</v>
      </c>
      <c r="Q27" s="24"/>
      <c r="R27" s="24"/>
      <c r="V27" s="39" t="s">
        <v>108</v>
      </c>
      <c r="W27" s="39"/>
      <c r="X27" s="39"/>
      <c r="Y27" s="41" t="s">
        <v>148</v>
      </c>
      <c r="Z27" s="41"/>
      <c r="AA27" s="44"/>
      <c r="AB27" s="45" t="s">
        <v>382</v>
      </c>
      <c r="AC27" s="45"/>
      <c r="AD27" s="45"/>
    </row>
    <row r="28" spans="2:30" x14ac:dyDescent="0.3">
      <c r="B28" s="34" t="s">
        <v>383</v>
      </c>
      <c r="C28" s="34" t="s">
        <v>384</v>
      </c>
      <c r="D28" s="4" t="s">
        <v>98</v>
      </c>
      <c r="E28" s="4"/>
      <c r="F28" s="4"/>
      <c r="P28" s="24" t="s">
        <v>205</v>
      </c>
      <c r="Q28" s="24"/>
      <c r="R28" s="24"/>
      <c r="V28" s="39" t="s">
        <v>117</v>
      </c>
      <c r="W28" s="39" t="s">
        <v>292</v>
      </c>
      <c r="X28" s="39" t="s">
        <v>352</v>
      </c>
      <c r="Y28" s="41" t="s">
        <v>155</v>
      </c>
      <c r="Z28" s="41"/>
      <c r="AA28" s="44"/>
      <c r="AB28" s="45" t="s">
        <v>385</v>
      </c>
      <c r="AC28" s="45" t="s">
        <v>292</v>
      </c>
      <c r="AD28" s="45" t="str">
        <f>B51</f>
        <v>Mobility Impairment Indicator</v>
      </c>
    </row>
    <row r="29" spans="2:30" x14ac:dyDescent="0.3">
      <c r="B29" s="34" t="s">
        <v>386</v>
      </c>
      <c r="C29" s="34">
        <v>2</v>
      </c>
      <c r="D29" s="4" t="s">
        <v>207</v>
      </c>
      <c r="E29" s="4"/>
      <c r="F29" s="4"/>
      <c r="P29" s="24" t="s">
        <v>209</v>
      </c>
      <c r="Q29" s="24" t="s">
        <v>292</v>
      </c>
      <c r="R29" s="24" t="str">
        <f>B91</f>
        <v>aligned_tin_market</v>
      </c>
      <c r="V29" s="39" t="s">
        <v>128</v>
      </c>
      <c r="W29" s="39"/>
      <c r="X29" s="39"/>
      <c r="Y29" s="41" t="s">
        <v>163</v>
      </c>
      <c r="Z29" s="41"/>
      <c r="AA29" s="44"/>
      <c r="AB29" s="45" t="s">
        <v>387</v>
      </c>
      <c r="AC29" s="45" t="s">
        <v>292</v>
      </c>
      <c r="AD29" s="45" t="str">
        <f>B52</f>
        <v>Frailty Indicator</v>
      </c>
    </row>
    <row r="30" spans="2:30" x14ac:dyDescent="0.3">
      <c r="B30" s="34" t="s">
        <v>388</v>
      </c>
      <c r="C30" s="34" t="s">
        <v>389</v>
      </c>
      <c r="D30" s="4" t="s">
        <v>108</v>
      </c>
      <c r="E30" s="4"/>
      <c r="F30" s="4"/>
      <c r="P30" s="24" t="s">
        <v>211</v>
      </c>
      <c r="Q30" s="24" t="s">
        <v>292</v>
      </c>
      <c r="R30" s="24" t="str">
        <f>B92</f>
        <v>aligned_tin_submarket</v>
      </c>
      <c r="V30" s="39" t="s">
        <v>140</v>
      </c>
      <c r="W30" s="39"/>
      <c r="X30" s="39"/>
      <c r="AB30" s="45" t="s">
        <v>390</v>
      </c>
      <c r="AC30" s="45" t="s">
        <v>292</v>
      </c>
      <c r="AD30" s="45" t="str">
        <f>B53</f>
        <v>Medium Risk with Unplanned Admissions Indicator</v>
      </c>
    </row>
    <row r="31" spans="2:30" x14ac:dyDescent="0.3">
      <c r="B31" s="34" t="s">
        <v>391</v>
      </c>
      <c r="C31" s="34" t="s">
        <v>392</v>
      </c>
      <c r="D31" s="4" t="s">
        <v>117</v>
      </c>
      <c r="E31" s="4"/>
      <c r="F31" s="4" t="s">
        <v>352</v>
      </c>
      <c r="P31" s="24" t="s">
        <v>213</v>
      </c>
      <c r="Q31" s="24"/>
      <c r="R31" s="24"/>
      <c r="V31" s="39" t="s">
        <v>148</v>
      </c>
      <c r="W31" s="39"/>
      <c r="X31" s="39"/>
      <c r="AB31" s="45" t="s">
        <v>393</v>
      </c>
      <c r="AC31" s="45" t="s">
        <v>292</v>
      </c>
      <c r="AD31" s="45" t="str">
        <f>B54</f>
        <v>High Risk Score Indicator</v>
      </c>
    </row>
    <row r="32" spans="2:30" x14ac:dyDescent="0.3">
      <c r="B32" s="34" t="s">
        <v>394</v>
      </c>
      <c r="C32" s="34" t="s">
        <v>395</v>
      </c>
      <c r="D32" s="4" t="s">
        <v>128</v>
      </c>
      <c r="E32" s="4"/>
      <c r="F32" s="4"/>
      <c r="P32" s="24" t="s">
        <v>109</v>
      </c>
      <c r="Q32" s="24" t="s">
        <v>292</v>
      </c>
      <c r="R32" s="24" t="s">
        <v>295</v>
      </c>
      <c r="V32" s="39" t="s">
        <v>155</v>
      </c>
      <c r="W32" s="39"/>
      <c r="X32" s="39"/>
      <c r="AB32" s="45" t="s">
        <v>85</v>
      </c>
      <c r="AC32" s="45"/>
      <c r="AD32" s="45"/>
    </row>
    <row r="33" spans="2:30" x14ac:dyDescent="0.3">
      <c r="B33" s="34" t="s">
        <v>396</v>
      </c>
      <c r="C33" s="34" t="s">
        <v>395</v>
      </c>
      <c r="D33" s="4" t="s">
        <v>140</v>
      </c>
      <c r="E33" s="4"/>
      <c r="F33" s="4"/>
      <c r="P33" s="24" t="s">
        <v>85</v>
      </c>
      <c r="Q33" s="24"/>
      <c r="R33" s="24"/>
      <c r="V33" s="39" t="s">
        <v>163</v>
      </c>
      <c r="W33" s="39"/>
      <c r="X33" s="39"/>
      <c r="AB33" s="45" t="s">
        <v>98</v>
      </c>
      <c r="AC33" s="45"/>
      <c r="AD33" s="45"/>
    </row>
    <row r="34" spans="2:30" x14ac:dyDescent="0.3">
      <c r="B34" s="34" t="s">
        <v>397</v>
      </c>
      <c r="C34" s="34" t="s">
        <v>395</v>
      </c>
      <c r="D34" s="4" t="s">
        <v>148</v>
      </c>
      <c r="E34" s="4"/>
      <c r="F34" s="4"/>
      <c r="P34" s="24" t="s">
        <v>98</v>
      </c>
      <c r="Q34" s="24"/>
      <c r="R34" s="24"/>
      <c r="AB34" s="45" t="s">
        <v>18</v>
      </c>
      <c r="AC34" s="45" t="s">
        <v>292</v>
      </c>
      <c r="AD34" s="45" t="str">
        <f>B13</f>
        <v>Beneficiary MBI ID</v>
      </c>
    </row>
    <row r="35" spans="2:30" x14ac:dyDescent="0.3">
      <c r="B35" s="34" t="s">
        <v>398</v>
      </c>
      <c r="C35" s="34" t="s">
        <v>395</v>
      </c>
      <c r="D35" s="4" t="s">
        <v>155</v>
      </c>
      <c r="E35" s="4"/>
      <c r="F35" s="4"/>
      <c r="P35" s="24" t="s">
        <v>18</v>
      </c>
      <c r="Q35" s="24" t="s">
        <v>292</v>
      </c>
      <c r="R35" s="24" t="str">
        <f>B13</f>
        <v>Beneficiary MBI ID</v>
      </c>
      <c r="AB35" s="45" t="s">
        <v>108</v>
      </c>
      <c r="AC35" s="45"/>
      <c r="AD35" s="45"/>
    </row>
    <row r="36" spans="2:30" x14ac:dyDescent="0.3">
      <c r="B36" s="34" t="s">
        <v>399</v>
      </c>
      <c r="C36" s="34" t="s">
        <v>395</v>
      </c>
      <c r="D36" s="4" t="s">
        <v>163</v>
      </c>
      <c r="E36" s="4"/>
      <c r="F36" s="4"/>
      <c r="P36" s="24" t="s">
        <v>108</v>
      </c>
      <c r="Q36" s="24"/>
      <c r="R36" s="24"/>
      <c r="AB36" s="45" t="s">
        <v>117</v>
      </c>
      <c r="AC36" s="45" t="s">
        <v>292</v>
      </c>
      <c r="AD36" s="45" t="s">
        <v>352</v>
      </c>
    </row>
    <row r="37" spans="2:30" x14ac:dyDescent="0.3">
      <c r="B37" s="34" t="s">
        <v>400</v>
      </c>
      <c r="C37" s="34" t="s">
        <v>401</v>
      </c>
      <c r="P37" s="24" t="s">
        <v>117</v>
      </c>
      <c r="Q37" s="24" t="s">
        <v>292</v>
      </c>
      <c r="R37" s="24" t="s">
        <v>352</v>
      </c>
      <c r="AB37" s="45" t="s">
        <v>128</v>
      </c>
      <c r="AC37" s="45"/>
      <c r="AD37" s="45"/>
    </row>
    <row r="38" spans="2:30" x14ac:dyDescent="0.3">
      <c r="B38" s="34" t="s">
        <v>402</v>
      </c>
      <c r="C38" s="34" t="s">
        <v>105</v>
      </c>
      <c r="P38" s="24" t="s">
        <v>128</v>
      </c>
      <c r="Q38" s="24"/>
      <c r="R38" s="24"/>
      <c r="AB38" s="45" t="s">
        <v>140</v>
      </c>
      <c r="AC38" s="45"/>
      <c r="AD38" s="45"/>
    </row>
    <row r="39" spans="2:30" x14ac:dyDescent="0.3">
      <c r="B39" s="34" t="s">
        <v>403</v>
      </c>
      <c r="C39" s="34">
        <v>11429</v>
      </c>
      <c r="P39" s="24" t="s">
        <v>140</v>
      </c>
      <c r="Q39" s="24"/>
      <c r="R39" s="24"/>
      <c r="AB39" s="45" t="s">
        <v>148</v>
      </c>
      <c r="AC39" s="45"/>
      <c r="AD39" s="45"/>
    </row>
    <row r="40" spans="2:30" x14ac:dyDescent="0.3">
      <c r="B40" s="34" t="s">
        <v>404</v>
      </c>
      <c r="C40" s="34">
        <v>2108</v>
      </c>
      <c r="P40" s="24" t="s">
        <v>148</v>
      </c>
      <c r="Q40" s="24"/>
      <c r="R40" s="24"/>
      <c r="AB40" s="45" t="s">
        <v>155</v>
      </c>
      <c r="AC40" s="45"/>
      <c r="AD40" s="45"/>
    </row>
    <row r="41" spans="2:30" x14ac:dyDescent="0.3">
      <c r="B41" s="34" t="s">
        <v>405</v>
      </c>
      <c r="C41" s="34">
        <v>33590</v>
      </c>
      <c r="P41" s="24" t="s">
        <v>155</v>
      </c>
      <c r="Q41" s="24"/>
      <c r="R41" s="24"/>
      <c r="AB41" s="45" t="s">
        <v>163</v>
      </c>
      <c r="AC41" s="45"/>
      <c r="AD41" s="45"/>
    </row>
    <row r="42" spans="2:30" x14ac:dyDescent="0.3">
      <c r="B42" s="34" t="s">
        <v>406</v>
      </c>
      <c r="C42" s="34">
        <v>36081</v>
      </c>
      <c r="P42" s="24" t="s">
        <v>163</v>
      </c>
      <c r="Q42" s="24"/>
      <c r="R42" s="24"/>
    </row>
    <row r="43" spans="2:30" x14ac:dyDescent="0.3">
      <c r="B43" s="34" t="s">
        <v>407</v>
      </c>
      <c r="C43" s="34" t="s">
        <v>408</v>
      </c>
      <c r="P43" s="56" t="s">
        <v>409</v>
      </c>
      <c r="Q43" s="57"/>
      <c r="R43" s="58"/>
    </row>
    <row r="44" spans="2:30" x14ac:dyDescent="0.3">
      <c r="B44" s="34" t="s">
        <v>410</v>
      </c>
      <c r="C44" s="34" t="s">
        <v>411</v>
      </c>
      <c r="P44" s="24" t="s">
        <v>233</v>
      </c>
      <c r="Q44" s="24" t="s">
        <v>292</v>
      </c>
      <c r="R44" s="24" t="str">
        <f>B85</f>
        <v>aligned_inpi_name</v>
      </c>
    </row>
    <row r="45" spans="2:30" x14ac:dyDescent="0.3">
      <c r="B45" s="34" t="s">
        <v>412</v>
      </c>
      <c r="C45" s="34" t="s">
        <v>411</v>
      </c>
      <c r="P45" s="24" t="s">
        <v>234</v>
      </c>
      <c r="Q45" s="24" t="s">
        <v>292</v>
      </c>
      <c r="R45" s="24" t="str">
        <f>B84</f>
        <v>aligned_inpi</v>
      </c>
    </row>
    <row r="46" spans="2:30" x14ac:dyDescent="0.3">
      <c r="B46" s="34" t="s">
        <v>413</v>
      </c>
      <c r="C46" s="34" t="s">
        <v>411</v>
      </c>
      <c r="P46" s="24" t="s">
        <v>213</v>
      </c>
      <c r="Q46" s="24"/>
      <c r="R46" s="24"/>
    </row>
    <row r="47" spans="2:30" x14ac:dyDescent="0.3">
      <c r="B47" s="34" t="s">
        <v>414</v>
      </c>
      <c r="C47" s="34" t="s">
        <v>408</v>
      </c>
      <c r="P47" s="24" t="s">
        <v>109</v>
      </c>
      <c r="Q47" s="24" t="s">
        <v>292</v>
      </c>
      <c r="R47" s="24" t="s">
        <v>295</v>
      </c>
    </row>
    <row r="48" spans="2:30" x14ac:dyDescent="0.3">
      <c r="B48" s="34" t="s">
        <v>415</v>
      </c>
      <c r="C48" s="34" t="s">
        <v>408</v>
      </c>
      <c r="P48" s="24" t="s">
        <v>85</v>
      </c>
      <c r="Q48" s="24"/>
      <c r="R48" s="24"/>
    </row>
    <row r="49" spans="2:18" x14ac:dyDescent="0.3">
      <c r="B49" s="34" t="s">
        <v>416</v>
      </c>
      <c r="C49" s="34" t="s">
        <v>411</v>
      </c>
      <c r="P49" s="24" t="s">
        <v>98</v>
      </c>
      <c r="Q49" s="24"/>
      <c r="R49" s="24"/>
    </row>
    <row r="50" spans="2:18" x14ac:dyDescent="0.3">
      <c r="B50" s="34" t="s">
        <v>417</v>
      </c>
      <c r="C50" s="34" t="s">
        <v>418</v>
      </c>
      <c r="P50" s="24" t="s">
        <v>18</v>
      </c>
      <c r="Q50" s="24" t="s">
        <v>292</v>
      </c>
      <c r="R50" s="24" t="str">
        <f>B13</f>
        <v>Beneficiary MBI ID</v>
      </c>
    </row>
    <row r="51" spans="2:18" x14ac:dyDescent="0.3">
      <c r="B51" s="34" t="s">
        <v>419</v>
      </c>
      <c r="C51" s="34"/>
      <c r="P51" s="24" t="s">
        <v>108</v>
      </c>
      <c r="Q51" s="24"/>
      <c r="R51" s="24"/>
    </row>
    <row r="52" spans="2:18" x14ac:dyDescent="0.3">
      <c r="B52" s="34" t="s">
        <v>420</v>
      </c>
      <c r="C52" s="34"/>
      <c r="P52" s="24" t="s">
        <v>117</v>
      </c>
      <c r="Q52" s="24" t="s">
        <v>292</v>
      </c>
      <c r="R52" s="24" t="s">
        <v>352</v>
      </c>
    </row>
    <row r="53" spans="2:18" x14ac:dyDescent="0.3">
      <c r="B53" s="34" t="s">
        <v>421</v>
      </c>
      <c r="C53" s="34"/>
      <c r="P53" s="24" t="s">
        <v>128</v>
      </c>
      <c r="Q53" s="24"/>
      <c r="R53" s="24"/>
    </row>
    <row r="54" spans="2:18" x14ac:dyDescent="0.3">
      <c r="B54" s="34" t="s">
        <v>422</v>
      </c>
      <c r="C54" s="34"/>
      <c r="P54" s="24" t="s">
        <v>140</v>
      </c>
      <c r="Q54" s="24"/>
      <c r="R54" s="24"/>
    </row>
    <row r="55" spans="2:18" x14ac:dyDescent="0.3">
      <c r="B55" s="34" t="s">
        <v>34</v>
      </c>
      <c r="C55" s="34" t="s">
        <v>423</v>
      </c>
      <c r="P55" s="24" t="s">
        <v>148</v>
      </c>
      <c r="Q55" s="24"/>
      <c r="R55" s="24"/>
    </row>
    <row r="56" spans="2:18" x14ac:dyDescent="0.3">
      <c r="B56" s="34" t="s">
        <v>48</v>
      </c>
      <c r="C56" s="34">
        <v>20240508</v>
      </c>
      <c r="P56" s="24" t="s">
        <v>155</v>
      </c>
      <c r="Q56" s="24"/>
      <c r="R56" s="24"/>
    </row>
    <row r="57" spans="2:18" x14ac:dyDescent="0.3">
      <c r="B57" s="34" t="s">
        <v>66</v>
      </c>
      <c r="C57" s="34" t="s">
        <v>315</v>
      </c>
      <c r="P57" s="24" t="s">
        <v>163</v>
      </c>
      <c r="Q57" s="24"/>
      <c r="R57" s="24"/>
    </row>
    <row r="58" spans="2:18" x14ac:dyDescent="0.3">
      <c r="B58" s="34" t="s">
        <v>78</v>
      </c>
      <c r="C58" s="34">
        <v>1.044</v>
      </c>
    </row>
    <row r="59" spans="2:18" x14ac:dyDescent="0.3">
      <c r="B59" s="34" t="s">
        <v>91</v>
      </c>
      <c r="C59" s="34">
        <v>0.90234033999999996</v>
      </c>
    </row>
    <row r="60" spans="2:18" x14ac:dyDescent="0.3">
      <c r="B60" s="34" t="s">
        <v>424</v>
      </c>
      <c r="C60" s="34">
        <v>0</v>
      </c>
    </row>
    <row r="61" spans="2:18" x14ac:dyDescent="0.3">
      <c r="B61" s="34" t="s">
        <v>425</v>
      </c>
      <c r="C61" s="34" t="s">
        <v>426</v>
      </c>
    </row>
    <row r="62" spans="2:18" x14ac:dyDescent="0.3">
      <c r="B62" s="34" t="s">
        <v>427</v>
      </c>
      <c r="C62" s="34">
        <v>2023</v>
      </c>
    </row>
    <row r="63" spans="2:18" x14ac:dyDescent="0.3">
      <c r="B63" s="34" t="s">
        <v>428</v>
      </c>
      <c r="C63" s="34" t="s">
        <v>429</v>
      </c>
    </row>
    <row r="64" spans="2:18" x14ac:dyDescent="0.3">
      <c r="B64" s="34" t="s">
        <v>430</v>
      </c>
      <c r="C64" s="34" t="s">
        <v>431</v>
      </c>
    </row>
    <row r="65" spans="2:3" x14ac:dyDescent="0.3">
      <c r="B65" s="34" t="s">
        <v>432</v>
      </c>
      <c r="C65" s="34">
        <v>1349.0351619999999</v>
      </c>
    </row>
    <row r="66" spans="2:3" x14ac:dyDescent="0.3">
      <c r="B66" s="34" t="s">
        <v>150</v>
      </c>
      <c r="C66" s="34">
        <v>0</v>
      </c>
    </row>
    <row r="67" spans="2:3" x14ac:dyDescent="0.3">
      <c r="B67" s="34" t="s">
        <v>157</v>
      </c>
      <c r="C67" s="34">
        <v>1192.9430698160099</v>
      </c>
    </row>
    <row r="68" spans="2:3" x14ac:dyDescent="0.3">
      <c r="B68" s="34" t="s">
        <v>296</v>
      </c>
      <c r="C68" s="34" t="s">
        <v>38</v>
      </c>
    </row>
    <row r="69" spans="2:3" x14ac:dyDescent="0.3">
      <c r="B69" s="34" t="s">
        <v>433</v>
      </c>
      <c r="C69" s="34" t="s">
        <v>434</v>
      </c>
    </row>
    <row r="70" spans="2:3" x14ac:dyDescent="0.3">
      <c r="B70" s="34" t="s">
        <v>435</v>
      </c>
      <c r="C70" s="34" t="s">
        <v>436</v>
      </c>
    </row>
    <row r="71" spans="2:3" x14ac:dyDescent="0.3">
      <c r="B71" s="34" t="s">
        <v>437</v>
      </c>
      <c r="C71" s="34" t="s">
        <v>434</v>
      </c>
    </row>
    <row r="72" spans="2:3" x14ac:dyDescent="0.3">
      <c r="B72" s="34" t="s">
        <v>438</v>
      </c>
      <c r="C72" s="34" t="s">
        <v>434</v>
      </c>
    </row>
    <row r="73" spans="2:3" x14ac:dyDescent="0.3">
      <c r="B73" s="34" t="s">
        <v>439</v>
      </c>
      <c r="C73" s="34" t="s">
        <v>440</v>
      </c>
    </row>
    <row r="74" spans="2:3" x14ac:dyDescent="0.3">
      <c r="B74" s="34" t="s">
        <v>441</v>
      </c>
      <c r="C74" s="34">
        <v>10</v>
      </c>
    </row>
    <row r="75" spans="2:3" x14ac:dyDescent="0.3">
      <c r="B75" s="34" t="s">
        <v>442</v>
      </c>
      <c r="C75" s="34" t="s">
        <v>443</v>
      </c>
    </row>
    <row r="76" spans="2:3" x14ac:dyDescent="0.3">
      <c r="B76" s="34" t="s">
        <v>444</v>
      </c>
      <c r="C76" s="34">
        <v>0</v>
      </c>
    </row>
    <row r="77" spans="2:3" x14ac:dyDescent="0.3">
      <c r="B77" s="34" t="s">
        <v>366</v>
      </c>
      <c r="C77" s="34">
        <v>1</v>
      </c>
    </row>
    <row r="78" spans="2:3" x14ac:dyDescent="0.3">
      <c r="B78" s="34" t="s">
        <v>368</v>
      </c>
      <c r="C78" s="34">
        <v>0</v>
      </c>
    </row>
    <row r="79" spans="2:3" x14ac:dyDescent="0.3">
      <c r="B79" s="34" t="s">
        <v>370</v>
      </c>
      <c r="C79" s="34">
        <v>1</v>
      </c>
    </row>
    <row r="80" spans="2:3" x14ac:dyDescent="0.3">
      <c r="B80" s="34" t="s">
        <v>445</v>
      </c>
      <c r="C80" s="34" t="s">
        <v>38</v>
      </c>
    </row>
    <row r="81" spans="2:3" x14ac:dyDescent="0.3">
      <c r="B81" s="34" t="s">
        <v>446</v>
      </c>
      <c r="C81" s="34" t="s">
        <v>38</v>
      </c>
    </row>
    <row r="82" spans="2:3" x14ac:dyDescent="0.3">
      <c r="B82" s="34" t="s">
        <v>447</v>
      </c>
      <c r="C82" s="34" t="s">
        <v>38</v>
      </c>
    </row>
    <row r="83" spans="2:3" x14ac:dyDescent="0.3">
      <c r="B83" s="34" t="s">
        <v>448</v>
      </c>
      <c r="C83" s="34">
        <v>1</v>
      </c>
    </row>
    <row r="84" spans="2:3" x14ac:dyDescent="0.3">
      <c r="B84" s="34" t="s">
        <v>449</v>
      </c>
      <c r="C84" s="34">
        <v>1831244227</v>
      </c>
    </row>
    <row r="85" spans="2:3" x14ac:dyDescent="0.3">
      <c r="B85" s="34" t="s">
        <v>450</v>
      </c>
      <c r="C85" s="34" t="s">
        <v>451</v>
      </c>
    </row>
    <row r="86" spans="2:3" x14ac:dyDescent="0.3">
      <c r="B86" s="34" t="s">
        <v>452</v>
      </c>
      <c r="C86" s="35">
        <v>45292</v>
      </c>
    </row>
    <row r="87" spans="2:3" x14ac:dyDescent="0.3">
      <c r="B87" s="34" t="s">
        <v>453</v>
      </c>
      <c r="C87" s="35">
        <v>45657</v>
      </c>
    </row>
    <row r="88" spans="2:3" x14ac:dyDescent="0.3">
      <c r="B88" s="34" t="s">
        <v>454</v>
      </c>
      <c r="C88" s="34" t="s">
        <v>455</v>
      </c>
    </row>
    <row r="89" spans="2:3" x14ac:dyDescent="0.3">
      <c r="B89" s="34" t="s">
        <v>456</v>
      </c>
      <c r="C89" s="34">
        <v>113373116</v>
      </c>
    </row>
    <row r="90" spans="2:3" x14ac:dyDescent="0.3">
      <c r="B90" s="34" t="s">
        <v>457</v>
      </c>
      <c r="C90" s="34" t="s">
        <v>451</v>
      </c>
    </row>
    <row r="91" spans="2:3" x14ac:dyDescent="0.3">
      <c r="B91" s="34" t="s">
        <v>458</v>
      </c>
      <c r="C91" s="34" t="s">
        <v>105</v>
      </c>
    </row>
    <row r="92" spans="2:3" x14ac:dyDescent="0.3">
      <c r="B92" s="34" t="s">
        <v>459</v>
      </c>
      <c r="C92" s="34" t="s">
        <v>460</v>
      </c>
    </row>
    <row r="93" spans="2:3" x14ac:dyDescent="0.3">
      <c r="B93" s="34" t="s">
        <v>461</v>
      </c>
      <c r="C93" s="34" t="s">
        <v>451</v>
      </c>
    </row>
    <row r="94" spans="2:3" x14ac:dyDescent="0.3">
      <c r="B94" s="34" t="s">
        <v>462</v>
      </c>
      <c r="C94" s="34" t="s">
        <v>451</v>
      </c>
    </row>
    <row r="95" spans="2:3" x14ac:dyDescent="0.3">
      <c r="B95" s="34" t="s">
        <v>297</v>
      </c>
      <c r="C95" s="34" t="s">
        <v>38</v>
      </c>
    </row>
    <row r="96" spans="2:3" x14ac:dyDescent="0.3">
      <c r="B96" s="34" t="s">
        <v>302</v>
      </c>
      <c r="C96" s="34" t="s">
        <v>38</v>
      </c>
    </row>
    <row r="97" spans="2:3" x14ac:dyDescent="0.3">
      <c r="B97" s="34" t="s">
        <v>306</v>
      </c>
      <c r="C97" s="34" t="s">
        <v>38</v>
      </c>
    </row>
    <row r="98" spans="2:3" x14ac:dyDescent="0.3">
      <c r="B98" s="34" t="s">
        <v>312</v>
      </c>
      <c r="C98" s="34" t="s">
        <v>38</v>
      </c>
    </row>
    <row r="99" spans="2:3" x14ac:dyDescent="0.3">
      <c r="B99" s="34" t="s">
        <v>317</v>
      </c>
      <c r="C99" s="34" t="s">
        <v>38</v>
      </c>
    </row>
    <row r="100" spans="2:3" x14ac:dyDescent="0.3">
      <c r="B100" s="34" t="s">
        <v>321</v>
      </c>
      <c r="C100" s="34">
        <v>1</v>
      </c>
    </row>
    <row r="101" spans="2:3" x14ac:dyDescent="0.3">
      <c r="B101" s="34" t="s">
        <v>324</v>
      </c>
      <c r="C101" s="34">
        <v>1831244227</v>
      </c>
    </row>
    <row r="102" spans="2:3" x14ac:dyDescent="0.3">
      <c r="B102" s="34" t="s">
        <v>328</v>
      </c>
      <c r="C102" s="34">
        <v>113373116</v>
      </c>
    </row>
    <row r="103" spans="2:3" x14ac:dyDescent="0.3">
      <c r="B103" s="34" t="s">
        <v>333</v>
      </c>
      <c r="C103" s="34">
        <v>715.09</v>
      </c>
    </row>
    <row r="104" spans="2:3" x14ac:dyDescent="0.3">
      <c r="B104" s="34" t="s">
        <v>337</v>
      </c>
      <c r="C104" s="34">
        <v>20231019</v>
      </c>
    </row>
    <row r="105" spans="2:3" x14ac:dyDescent="0.3">
      <c r="B105" s="34" t="s">
        <v>341</v>
      </c>
      <c r="C105" s="34">
        <v>0</v>
      </c>
    </row>
    <row r="106" spans="2:3" x14ac:dyDescent="0.3">
      <c r="B106" s="34" t="s">
        <v>345</v>
      </c>
      <c r="C106" s="34">
        <v>1831244227</v>
      </c>
    </row>
    <row r="107" spans="2:3" x14ac:dyDescent="0.3">
      <c r="B107" s="34" t="s">
        <v>349</v>
      </c>
      <c r="C107" s="34">
        <v>113373116</v>
      </c>
    </row>
    <row r="108" spans="2:3" x14ac:dyDescent="0.3">
      <c r="B108" s="34" t="s">
        <v>354</v>
      </c>
      <c r="C108" s="34">
        <v>0</v>
      </c>
    </row>
    <row r="109" spans="2:3" x14ac:dyDescent="0.3">
      <c r="B109" s="34" t="s">
        <v>463</v>
      </c>
      <c r="C109" s="34">
        <v>20231019</v>
      </c>
    </row>
    <row r="110" spans="2:3" x14ac:dyDescent="0.3">
      <c r="B110" s="34" t="s">
        <v>464</v>
      </c>
      <c r="C110" s="34" t="s">
        <v>38</v>
      </c>
    </row>
    <row r="111" spans="2:3" x14ac:dyDescent="0.3">
      <c r="B111" s="34" t="s">
        <v>465</v>
      </c>
      <c r="C111" s="34" t="s">
        <v>38</v>
      </c>
    </row>
    <row r="112" spans="2:3" x14ac:dyDescent="0.3">
      <c r="B112" s="34" t="s">
        <v>466</v>
      </c>
      <c r="C112" s="34" t="s">
        <v>38</v>
      </c>
    </row>
    <row r="113" spans="2:3" x14ac:dyDescent="0.3">
      <c r="B113" s="34" t="s">
        <v>364</v>
      </c>
      <c r="C113" s="34">
        <v>1</v>
      </c>
    </row>
    <row r="114" spans="2:3" x14ac:dyDescent="0.3">
      <c r="B114" s="34" t="s">
        <v>467</v>
      </c>
      <c r="C114" s="34" t="s">
        <v>38</v>
      </c>
    </row>
    <row r="115" spans="2:3" x14ac:dyDescent="0.3">
      <c r="B115" s="34" t="s">
        <v>468</v>
      </c>
      <c r="C115" s="34" t="s">
        <v>38</v>
      </c>
    </row>
  </sheetData>
  <mergeCells count="10">
    <mergeCell ref="AB4:AD4"/>
    <mergeCell ref="D4:F4"/>
    <mergeCell ref="J4:L4"/>
    <mergeCell ref="M4:O4"/>
    <mergeCell ref="P4:R4"/>
    <mergeCell ref="P43:R43"/>
    <mergeCell ref="P24:R24"/>
    <mergeCell ref="S4:U4"/>
    <mergeCell ref="V4:X4"/>
    <mergeCell ref="Y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148B-B302-4A7E-80D8-7604EE0B8C18}">
  <dimension ref="B2:AD203"/>
  <sheetViews>
    <sheetView tabSelected="1" topLeftCell="A4" workbookViewId="0">
      <pane xSplit="3" topLeftCell="I1" activePane="topRight" state="frozen"/>
      <selection pane="topRight" activeCell="P5" sqref="P5:R25"/>
    </sheetView>
  </sheetViews>
  <sheetFormatPr defaultRowHeight="14.4" x14ac:dyDescent="0.3"/>
  <cols>
    <col min="2" max="2" width="40.33203125" bestFit="1" customWidth="1"/>
    <col min="3" max="3" width="22.6640625" customWidth="1"/>
    <col min="4" max="4" width="23.88671875" bestFit="1" customWidth="1"/>
    <col min="5" max="5" width="15.33203125" bestFit="1" customWidth="1"/>
    <col min="6" max="6" width="23" bestFit="1" customWidth="1"/>
    <col min="7" max="7" width="51.88671875" bestFit="1" customWidth="1"/>
    <col min="8" max="8" width="15.33203125" bestFit="1" customWidth="1"/>
    <col min="9" max="9" width="29" bestFit="1" customWidth="1"/>
    <col min="10" max="10" width="15.33203125" hidden="1" customWidth="1"/>
    <col min="11" max="11" width="10.88671875" hidden="1" customWidth="1"/>
    <col min="12" max="12" width="10.5546875" hidden="1" customWidth="1"/>
    <col min="13" max="13" width="15.33203125" hidden="1" customWidth="1"/>
    <col min="14" max="14" width="10.88671875" hidden="1" customWidth="1"/>
    <col min="15" max="15" width="10.5546875" hidden="1" customWidth="1"/>
    <col min="16" max="16" width="18.6640625" bestFit="1" customWidth="1"/>
    <col min="17" max="17" width="15.33203125" bestFit="1" customWidth="1"/>
    <col min="18" max="18" width="55.88671875" bestFit="1" customWidth="1"/>
    <col min="19" max="19" width="21.44140625" bestFit="1" customWidth="1"/>
    <col min="20" max="20" width="15.33203125" bestFit="1" customWidth="1"/>
    <col min="21" max="21" width="18.109375" bestFit="1" customWidth="1"/>
    <col min="22" max="22" width="27" bestFit="1" customWidth="1"/>
    <col min="23" max="23" width="15.33203125" bestFit="1" customWidth="1"/>
    <col min="24" max="24" width="18.6640625" bestFit="1" customWidth="1"/>
    <col min="25" max="25" width="34.33203125" hidden="1" customWidth="1"/>
    <col min="26" max="26" width="15.33203125" hidden="1" customWidth="1"/>
    <col min="27" max="27" width="18.6640625" hidden="1" customWidth="1"/>
    <col min="28" max="28" width="43.33203125" bestFit="1" customWidth="1"/>
    <col min="29" max="29" width="15.33203125" bestFit="1" customWidth="1"/>
    <col min="30" max="30" width="40.33203125" bestFit="1" customWidth="1"/>
  </cols>
  <sheetData>
    <row r="2" spans="2:30" x14ac:dyDescent="0.3">
      <c r="G2" s="32"/>
      <c r="J2" s="32"/>
    </row>
    <row r="3" spans="2:30" x14ac:dyDescent="0.3">
      <c r="F3" s="32"/>
      <c r="I3" s="32"/>
    </row>
    <row r="5" spans="2:30" x14ac:dyDescent="0.3">
      <c r="B5" s="51" t="s">
        <v>278</v>
      </c>
      <c r="C5" s="52"/>
      <c r="D5" s="49" t="s">
        <v>1</v>
      </c>
      <c r="E5" s="2" t="s">
        <v>2</v>
      </c>
      <c r="F5" s="2" t="s">
        <v>3</v>
      </c>
      <c r="G5" s="6" t="s">
        <v>1</v>
      </c>
      <c r="H5" s="6" t="s">
        <v>2</v>
      </c>
      <c r="I5" s="6" t="s">
        <v>3</v>
      </c>
      <c r="J5" s="10" t="s">
        <v>1</v>
      </c>
      <c r="K5" s="10" t="s">
        <v>2</v>
      </c>
      <c r="L5" s="17" t="s">
        <v>3</v>
      </c>
      <c r="M5" s="14" t="s">
        <v>1</v>
      </c>
      <c r="N5" s="14" t="s">
        <v>2</v>
      </c>
      <c r="O5" s="20" t="s">
        <v>3</v>
      </c>
      <c r="P5" s="22" t="s">
        <v>1</v>
      </c>
      <c r="Q5" s="22" t="s">
        <v>2</v>
      </c>
      <c r="R5" s="22" t="s">
        <v>3</v>
      </c>
      <c r="S5" s="26" t="s">
        <v>1</v>
      </c>
      <c r="T5" s="26" t="s">
        <v>2</v>
      </c>
      <c r="U5" s="36" t="s">
        <v>3</v>
      </c>
      <c r="V5" s="38" t="s">
        <v>279</v>
      </c>
      <c r="W5" s="38" t="s">
        <v>2</v>
      </c>
      <c r="X5" s="38" t="s">
        <v>3</v>
      </c>
      <c r="Y5" s="40" t="s">
        <v>279</v>
      </c>
      <c r="Z5" s="40" t="s">
        <v>2</v>
      </c>
      <c r="AA5" s="43" t="s">
        <v>3</v>
      </c>
      <c r="AB5" s="42" t="s">
        <v>279</v>
      </c>
      <c r="AC5" s="42" t="s">
        <v>2</v>
      </c>
      <c r="AD5" s="42" t="s">
        <v>3</v>
      </c>
    </row>
    <row r="6" spans="2:30" x14ac:dyDescent="0.3">
      <c r="B6" s="52" t="s">
        <v>469</v>
      </c>
      <c r="C6" s="52" t="s">
        <v>281</v>
      </c>
      <c r="D6" s="66" t="s">
        <v>282</v>
      </c>
      <c r="E6" s="66"/>
      <c r="F6" s="67"/>
      <c r="G6" s="8" t="s">
        <v>283</v>
      </c>
      <c r="H6" s="7"/>
      <c r="I6" s="7"/>
      <c r="J6" s="68" t="s">
        <v>284</v>
      </c>
      <c r="K6" s="69"/>
      <c r="L6" s="70"/>
      <c r="M6" s="71" t="s">
        <v>12</v>
      </c>
      <c r="N6" s="72"/>
      <c r="O6" s="73"/>
      <c r="P6" s="56" t="s">
        <v>285</v>
      </c>
      <c r="Q6" s="57"/>
      <c r="R6" s="58"/>
      <c r="S6" s="59" t="s">
        <v>286</v>
      </c>
      <c r="T6" s="60"/>
      <c r="U6" s="60"/>
      <c r="V6" s="61" t="s">
        <v>287</v>
      </c>
      <c r="W6" s="61"/>
      <c r="X6" s="61"/>
      <c r="Y6" s="62" t="s">
        <v>288</v>
      </c>
      <c r="Z6" s="62"/>
      <c r="AA6" s="63"/>
      <c r="AB6" s="64" t="s">
        <v>470</v>
      </c>
      <c r="AC6" s="64"/>
      <c r="AD6" s="64"/>
    </row>
    <row r="7" spans="2:30" x14ac:dyDescent="0.3">
      <c r="B7" s="52" t="s">
        <v>471</v>
      </c>
      <c r="C7" s="52" t="s">
        <v>472</v>
      </c>
      <c r="D7" s="50" t="s">
        <v>18</v>
      </c>
      <c r="E7" s="4" t="s">
        <v>292</v>
      </c>
      <c r="F7" s="4" t="s">
        <v>471</v>
      </c>
      <c r="G7" s="7" t="s">
        <v>22</v>
      </c>
      <c r="H7" s="7"/>
      <c r="I7" s="7"/>
      <c r="J7" s="12" t="s">
        <v>25</v>
      </c>
      <c r="K7" s="13"/>
      <c r="L7" s="18"/>
      <c r="M7" s="16" t="s">
        <v>28</v>
      </c>
      <c r="N7" s="16"/>
      <c r="O7" s="21"/>
      <c r="P7" s="24" t="s">
        <v>31</v>
      </c>
      <c r="Q7" s="24" t="s">
        <v>292</v>
      </c>
      <c r="R7" s="24" t="s">
        <v>320</v>
      </c>
      <c r="S7" s="28" t="s">
        <v>34</v>
      </c>
      <c r="T7" s="28" t="s">
        <v>292</v>
      </c>
      <c r="U7" s="37" t="s">
        <v>423</v>
      </c>
      <c r="V7" s="39" t="s">
        <v>296</v>
      </c>
      <c r="W7" s="39" t="s">
        <v>292</v>
      </c>
      <c r="X7" s="39"/>
      <c r="Y7" s="41" t="s">
        <v>297</v>
      </c>
      <c r="Z7" s="41" t="s">
        <v>292</v>
      </c>
      <c r="AA7" s="44"/>
      <c r="AB7" s="45" t="s">
        <v>298</v>
      </c>
      <c r="AC7" s="45"/>
      <c r="AD7" s="45"/>
    </row>
    <row r="8" spans="2:30" x14ac:dyDescent="0.3">
      <c r="B8" s="52" t="s">
        <v>473</v>
      </c>
      <c r="C8" s="52"/>
      <c r="D8" s="50" t="s">
        <v>39</v>
      </c>
      <c r="E8" s="4" t="s">
        <v>292</v>
      </c>
      <c r="F8" s="4" t="s">
        <v>474</v>
      </c>
      <c r="G8" s="7" t="s">
        <v>42</v>
      </c>
      <c r="H8" s="7" t="s">
        <v>292</v>
      </c>
      <c r="I8" s="7" t="s">
        <v>475</v>
      </c>
      <c r="J8" s="12" t="s">
        <v>18</v>
      </c>
      <c r="K8" s="12"/>
      <c r="L8" s="12"/>
      <c r="M8" s="16" t="s">
        <v>44</v>
      </c>
      <c r="N8" s="16"/>
      <c r="O8" s="21"/>
      <c r="P8" s="24" t="s">
        <v>46</v>
      </c>
      <c r="Q8" s="24" t="s">
        <v>292</v>
      </c>
      <c r="R8" s="24" t="s">
        <v>476</v>
      </c>
      <c r="S8" s="28" t="s">
        <v>48</v>
      </c>
      <c r="T8" s="28" t="s">
        <v>292</v>
      </c>
      <c r="U8" s="28" t="s">
        <v>299</v>
      </c>
      <c r="V8" s="39" t="s">
        <v>301</v>
      </c>
      <c r="W8" s="39" t="s">
        <v>292</v>
      </c>
      <c r="X8" s="39" t="s">
        <v>477</v>
      </c>
      <c r="Y8" s="41" t="s">
        <v>302</v>
      </c>
      <c r="Z8" s="41" t="s">
        <v>292</v>
      </c>
      <c r="AA8" s="44"/>
      <c r="AB8" s="45" t="s">
        <v>303</v>
      </c>
      <c r="AC8" s="45" t="s">
        <v>292</v>
      </c>
      <c r="AD8" s="45" t="s">
        <v>478</v>
      </c>
    </row>
    <row r="9" spans="2:30" x14ac:dyDescent="0.3">
      <c r="B9" s="52" t="s">
        <v>474</v>
      </c>
      <c r="C9" s="52" t="s">
        <v>479</v>
      </c>
      <c r="D9" s="50" t="s">
        <v>50</v>
      </c>
      <c r="E9" s="4" t="s">
        <v>292</v>
      </c>
      <c r="F9" s="4" t="s">
        <v>480</v>
      </c>
      <c r="G9" s="7" t="s">
        <v>53</v>
      </c>
      <c r="H9" s="7" t="s">
        <v>292</v>
      </c>
      <c r="I9" s="7" t="s">
        <v>481</v>
      </c>
      <c r="J9" s="12" t="s">
        <v>56</v>
      </c>
      <c r="K9" s="13"/>
      <c r="L9" s="18"/>
      <c r="M9" s="16" t="s">
        <v>58</v>
      </c>
      <c r="N9" s="16"/>
      <c r="O9" s="21"/>
      <c r="P9" s="24" t="s">
        <v>62</v>
      </c>
      <c r="Q9" s="24" t="s">
        <v>292</v>
      </c>
      <c r="R9" s="24" t="s">
        <v>471</v>
      </c>
      <c r="S9" s="28" t="s">
        <v>66</v>
      </c>
      <c r="T9" s="28" t="s">
        <v>292</v>
      </c>
      <c r="U9" s="54" t="s">
        <v>482</v>
      </c>
      <c r="V9" s="39" t="s">
        <v>305</v>
      </c>
      <c r="W9" s="39"/>
      <c r="X9" s="39"/>
      <c r="Y9" s="41" t="s">
        <v>306</v>
      </c>
      <c r="Z9" s="41" t="s">
        <v>292</v>
      </c>
      <c r="AA9" s="44"/>
      <c r="AB9" s="45" t="s">
        <v>307</v>
      </c>
      <c r="AC9" s="45" t="s">
        <v>292</v>
      </c>
      <c r="AD9" s="45" t="s">
        <v>483</v>
      </c>
    </row>
    <row r="10" spans="2:30" x14ac:dyDescent="0.3">
      <c r="B10" s="52" t="s">
        <v>480</v>
      </c>
      <c r="C10" s="52" t="s">
        <v>484</v>
      </c>
      <c r="D10" s="50" t="s">
        <v>68</v>
      </c>
      <c r="E10" s="4" t="s">
        <v>292</v>
      </c>
      <c r="F10" s="4" t="s">
        <v>485</v>
      </c>
      <c r="G10" s="7" t="s">
        <v>71</v>
      </c>
      <c r="H10" s="7" t="s">
        <v>292</v>
      </c>
      <c r="I10" s="7" t="s">
        <v>486</v>
      </c>
      <c r="J10" s="12" t="s">
        <v>74</v>
      </c>
      <c r="K10" s="12"/>
      <c r="L10" s="18"/>
      <c r="M10" s="16" t="s">
        <v>74</v>
      </c>
      <c r="N10" s="16"/>
      <c r="O10" s="21"/>
      <c r="P10" s="24" t="s">
        <v>76</v>
      </c>
      <c r="Q10" s="24"/>
      <c r="R10" s="47"/>
      <c r="S10" s="28" t="s">
        <v>78</v>
      </c>
      <c r="T10" s="28"/>
      <c r="U10" s="37"/>
      <c r="V10" s="39" t="s">
        <v>311</v>
      </c>
      <c r="W10" s="39"/>
      <c r="X10" s="39"/>
      <c r="Y10" s="41" t="s">
        <v>312</v>
      </c>
      <c r="Z10" s="41" t="s">
        <v>292</v>
      </c>
      <c r="AA10" s="44"/>
      <c r="AB10" s="45" t="s">
        <v>313</v>
      </c>
      <c r="AC10" s="45" t="s">
        <v>292</v>
      </c>
      <c r="AD10" s="45" t="s">
        <v>487</v>
      </c>
    </row>
    <row r="11" spans="2:30" x14ac:dyDescent="0.3">
      <c r="B11" s="52" t="s">
        <v>488</v>
      </c>
      <c r="C11" s="52" t="s">
        <v>135</v>
      </c>
      <c r="D11" s="50" t="s">
        <v>81</v>
      </c>
      <c r="E11" s="4" t="s">
        <v>292</v>
      </c>
      <c r="F11" s="4" t="s">
        <v>489</v>
      </c>
      <c r="G11" s="7" t="s">
        <v>83</v>
      </c>
      <c r="H11" s="7" t="s">
        <v>292</v>
      </c>
      <c r="I11" s="7" t="s">
        <v>490</v>
      </c>
      <c r="J11" s="12" t="s">
        <v>85</v>
      </c>
      <c r="K11" s="12"/>
      <c r="L11" s="18"/>
      <c r="M11" s="16" t="s">
        <v>85</v>
      </c>
      <c r="N11" s="16"/>
      <c r="O11" s="21"/>
      <c r="P11" s="24" t="s">
        <v>87</v>
      </c>
      <c r="Q11" s="24"/>
      <c r="R11" s="24"/>
      <c r="S11" s="28" t="s">
        <v>91</v>
      </c>
      <c r="T11" s="28" t="s">
        <v>292</v>
      </c>
      <c r="U11" s="28" t="s">
        <v>491</v>
      </c>
      <c r="V11" s="39" t="s">
        <v>316</v>
      </c>
      <c r="W11" s="39"/>
      <c r="X11" s="39"/>
      <c r="Y11" s="41" t="s">
        <v>317</v>
      </c>
      <c r="Z11" s="41" t="s">
        <v>292</v>
      </c>
      <c r="AA11" s="44"/>
      <c r="AB11" s="45" t="s">
        <v>318</v>
      </c>
      <c r="AC11" s="45" t="s">
        <v>292</v>
      </c>
      <c r="AD11" s="45" t="s">
        <v>492</v>
      </c>
    </row>
    <row r="12" spans="2:30" x14ac:dyDescent="0.3">
      <c r="B12" s="52" t="s">
        <v>493</v>
      </c>
      <c r="C12" s="53">
        <v>20143</v>
      </c>
      <c r="D12" s="50" t="s">
        <v>92</v>
      </c>
      <c r="E12" s="4" t="s">
        <v>292</v>
      </c>
      <c r="F12" s="4" t="s">
        <v>493</v>
      </c>
      <c r="G12" s="7" t="s">
        <v>95</v>
      </c>
      <c r="H12" s="7" t="s">
        <v>292</v>
      </c>
      <c r="I12" s="7" t="s">
        <v>494</v>
      </c>
      <c r="J12" s="12" t="s">
        <v>98</v>
      </c>
      <c r="K12" s="12"/>
      <c r="L12" s="18"/>
      <c r="M12" s="16" t="s">
        <v>98</v>
      </c>
      <c r="N12" s="16"/>
      <c r="O12" s="21"/>
      <c r="P12" s="24" t="s">
        <v>100</v>
      </c>
      <c r="Q12" s="24"/>
      <c r="R12" s="24"/>
      <c r="S12" s="28" t="s">
        <v>102</v>
      </c>
      <c r="T12" s="28"/>
      <c r="U12" s="37"/>
      <c r="V12" s="39" t="s">
        <v>320</v>
      </c>
      <c r="W12" s="39" t="s">
        <v>292</v>
      </c>
      <c r="X12" s="39" t="s">
        <v>320</v>
      </c>
      <c r="Y12" s="41" t="s">
        <v>321</v>
      </c>
      <c r="Z12" s="41" t="s">
        <v>292</v>
      </c>
      <c r="AA12" s="44"/>
      <c r="AB12" s="45" t="s">
        <v>314</v>
      </c>
      <c r="AC12" s="45" t="s">
        <v>292</v>
      </c>
      <c r="AD12" s="45" t="s">
        <v>314</v>
      </c>
    </row>
    <row r="13" spans="2:30" x14ac:dyDescent="0.3">
      <c r="B13" s="52" t="s">
        <v>487</v>
      </c>
      <c r="C13" s="52" t="s">
        <v>38</v>
      </c>
      <c r="D13" s="50" t="s">
        <v>103</v>
      </c>
      <c r="E13" s="4" t="s">
        <v>292</v>
      </c>
      <c r="F13" s="4" t="s">
        <v>488</v>
      </c>
      <c r="G13" s="7" t="s">
        <v>106</v>
      </c>
      <c r="H13" s="7"/>
      <c r="I13" s="7"/>
      <c r="J13" s="12" t="s">
        <v>108</v>
      </c>
      <c r="K13" s="12"/>
      <c r="L13" s="18"/>
      <c r="M13" s="16" t="s">
        <v>18</v>
      </c>
      <c r="N13" s="16"/>
      <c r="O13" s="21"/>
      <c r="P13" s="24" t="s">
        <v>109</v>
      </c>
      <c r="Q13" s="24" t="s">
        <v>292</v>
      </c>
      <c r="R13" s="24" t="s">
        <v>495</v>
      </c>
      <c r="S13" s="28" t="s">
        <v>112</v>
      </c>
      <c r="T13" s="28"/>
      <c r="U13" s="37"/>
      <c r="V13" s="39" t="s">
        <v>323</v>
      </c>
      <c r="W13" s="39"/>
      <c r="X13" s="39"/>
      <c r="Y13" s="41" t="s">
        <v>324</v>
      </c>
      <c r="Z13" s="41" t="s">
        <v>292</v>
      </c>
      <c r="AA13" s="44"/>
      <c r="AB13" s="45" t="s">
        <v>325</v>
      </c>
      <c r="AC13" s="45" t="s">
        <v>292</v>
      </c>
      <c r="AD13" s="45" t="s">
        <v>496</v>
      </c>
    </row>
    <row r="14" spans="2:30" x14ac:dyDescent="0.3">
      <c r="B14" s="52" t="s">
        <v>290</v>
      </c>
      <c r="C14" s="52" t="s">
        <v>497</v>
      </c>
      <c r="D14" s="50" t="s">
        <v>114</v>
      </c>
      <c r="E14" s="4" t="s">
        <v>292</v>
      </c>
      <c r="F14" s="4" t="s">
        <v>498</v>
      </c>
      <c r="G14" s="7" t="s">
        <v>74</v>
      </c>
      <c r="H14" s="7"/>
      <c r="I14" s="7"/>
      <c r="J14" s="12" t="s">
        <v>117</v>
      </c>
      <c r="K14" s="12"/>
      <c r="L14" s="12"/>
      <c r="M14" s="16" t="s">
        <v>108</v>
      </c>
      <c r="N14" s="16"/>
      <c r="O14" s="21"/>
      <c r="P14" s="24" t="s">
        <v>120</v>
      </c>
      <c r="Q14" s="24" t="s">
        <v>292</v>
      </c>
      <c r="R14" s="24" t="s">
        <v>478</v>
      </c>
      <c r="S14" s="28" t="s">
        <v>122</v>
      </c>
      <c r="T14" s="28" t="s">
        <v>292</v>
      </c>
      <c r="U14" s="28" t="s">
        <v>499</v>
      </c>
      <c r="V14" s="39" t="s">
        <v>327</v>
      </c>
      <c r="W14" s="39"/>
      <c r="X14" s="39"/>
      <c r="Y14" s="41" t="s">
        <v>328</v>
      </c>
      <c r="Z14" s="41" t="s">
        <v>292</v>
      </c>
      <c r="AA14" s="44"/>
      <c r="AB14" s="45" t="s">
        <v>329</v>
      </c>
      <c r="AC14" s="45"/>
      <c r="AD14" s="45"/>
    </row>
    <row r="15" spans="2:30" x14ac:dyDescent="0.3">
      <c r="B15" s="52" t="s">
        <v>299</v>
      </c>
      <c r="C15" s="53">
        <v>46184</v>
      </c>
      <c r="D15" s="50" t="s">
        <v>123</v>
      </c>
      <c r="E15" s="4"/>
      <c r="F15" s="4"/>
      <c r="G15" s="7" t="s">
        <v>125</v>
      </c>
      <c r="H15" s="7"/>
      <c r="I15" s="7"/>
      <c r="J15" s="12" t="s">
        <v>128</v>
      </c>
      <c r="K15" s="12"/>
      <c r="L15" s="18"/>
      <c r="M15" s="16" t="s">
        <v>117</v>
      </c>
      <c r="N15" s="16"/>
      <c r="O15" s="21"/>
      <c r="P15" s="24" t="s">
        <v>132</v>
      </c>
      <c r="Q15" s="24" t="s">
        <v>292</v>
      </c>
      <c r="R15" s="24" t="s">
        <v>483</v>
      </c>
      <c r="S15" s="28" t="s">
        <v>134</v>
      </c>
      <c r="T15" s="28"/>
      <c r="U15" s="37"/>
      <c r="V15" s="39" t="s">
        <v>332</v>
      </c>
      <c r="W15" s="39" t="s">
        <v>292</v>
      </c>
      <c r="X15" s="39" t="s">
        <v>500</v>
      </c>
      <c r="Y15" s="41" t="s">
        <v>333</v>
      </c>
      <c r="Z15" s="41" t="s">
        <v>292</v>
      </c>
      <c r="AA15" s="44"/>
      <c r="AB15" s="45" t="s">
        <v>334</v>
      </c>
      <c r="AC15" s="45"/>
      <c r="AD15" s="45"/>
    </row>
    <row r="16" spans="2:30" x14ac:dyDescent="0.3">
      <c r="B16" s="52" t="s">
        <v>304</v>
      </c>
      <c r="C16" s="52" t="s">
        <v>38</v>
      </c>
      <c r="D16" s="50" t="s">
        <v>136</v>
      </c>
      <c r="E16" s="4"/>
      <c r="F16" s="4"/>
      <c r="G16" s="7" t="s">
        <v>138</v>
      </c>
      <c r="H16" s="7" t="s">
        <v>292</v>
      </c>
      <c r="I16" s="7" t="s">
        <v>501</v>
      </c>
      <c r="J16" s="12" t="s">
        <v>140</v>
      </c>
      <c r="K16" s="12"/>
      <c r="L16" s="18"/>
      <c r="M16" s="16" t="s">
        <v>128</v>
      </c>
      <c r="N16" s="16"/>
      <c r="O16" s="21"/>
      <c r="P16" s="24" t="s">
        <v>85</v>
      </c>
      <c r="Q16" s="24"/>
      <c r="R16" s="24"/>
      <c r="S16" s="28" t="s">
        <v>143</v>
      </c>
      <c r="T16" s="28"/>
      <c r="U16" s="37"/>
      <c r="V16" s="39" t="s">
        <v>336</v>
      </c>
      <c r="W16" s="39" t="s">
        <v>292</v>
      </c>
      <c r="X16" s="39" t="s">
        <v>502</v>
      </c>
      <c r="Y16" s="41" t="s">
        <v>337</v>
      </c>
      <c r="Z16" s="41" t="s">
        <v>292</v>
      </c>
      <c r="AA16" s="44"/>
      <c r="AB16" s="45" t="s">
        <v>338</v>
      </c>
      <c r="AC16" s="45"/>
      <c r="AD16" s="45"/>
    </row>
    <row r="17" spans="2:30" x14ac:dyDescent="0.3">
      <c r="B17" s="52" t="s">
        <v>308</v>
      </c>
      <c r="C17" s="52" t="s">
        <v>38</v>
      </c>
      <c r="D17" s="50" t="s">
        <v>145</v>
      </c>
      <c r="E17" s="4"/>
      <c r="F17" s="4"/>
      <c r="G17" s="7" t="s">
        <v>146</v>
      </c>
      <c r="H17" s="7"/>
      <c r="I17" s="7"/>
      <c r="J17" s="12" t="s">
        <v>148</v>
      </c>
      <c r="K17" s="12"/>
      <c r="L17" s="18"/>
      <c r="M17" s="16" t="s">
        <v>140</v>
      </c>
      <c r="N17" s="16"/>
      <c r="O17" s="21"/>
      <c r="P17" s="24" t="s">
        <v>98</v>
      </c>
      <c r="Q17" s="24"/>
      <c r="R17" s="24"/>
      <c r="S17" s="28" t="s">
        <v>150</v>
      </c>
      <c r="T17" s="28"/>
      <c r="U17" s="37"/>
      <c r="V17" s="39" t="s">
        <v>340</v>
      </c>
      <c r="W17" s="39" t="s">
        <v>292</v>
      </c>
      <c r="X17" s="39" t="s">
        <v>503</v>
      </c>
      <c r="Y17" s="41" t="s">
        <v>341</v>
      </c>
      <c r="Z17" s="41" t="s">
        <v>292</v>
      </c>
      <c r="AA17" s="44"/>
      <c r="AB17" s="45" t="s">
        <v>342</v>
      </c>
      <c r="AC17" s="45"/>
      <c r="AD17" s="45"/>
    </row>
    <row r="18" spans="2:30" x14ac:dyDescent="0.3">
      <c r="B18" s="52" t="s">
        <v>314</v>
      </c>
      <c r="C18" s="52" t="s">
        <v>504</v>
      </c>
      <c r="D18" s="50" t="s">
        <v>151</v>
      </c>
      <c r="E18" s="4"/>
      <c r="F18" s="4"/>
      <c r="G18" s="7" t="s">
        <v>153</v>
      </c>
      <c r="H18" s="7" t="s">
        <v>292</v>
      </c>
      <c r="I18" s="7" t="s">
        <v>505</v>
      </c>
      <c r="J18" s="12" t="s">
        <v>155</v>
      </c>
      <c r="K18" s="12"/>
      <c r="L18" s="18"/>
      <c r="M18" s="16" t="s">
        <v>148</v>
      </c>
      <c r="N18" s="16"/>
      <c r="O18" s="21"/>
      <c r="P18" s="24" t="s">
        <v>18</v>
      </c>
      <c r="Q18" s="24" t="s">
        <v>292</v>
      </c>
      <c r="R18" s="24" t="s">
        <v>471</v>
      </c>
      <c r="S18" s="28" t="s">
        <v>157</v>
      </c>
      <c r="T18" s="28"/>
      <c r="U18" s="37"/>
      <c r="V18" s="39" t="s">
        <v>344</v>
      </c>
      <c r="W18" s="39" t="s">
        <v>292</v>
      </c>
      <c r="X18" s="39" t="s">
        <v>506</v>
      </c>
      <c r="Y18" s="41" t="s">
        <v>345</v>
      </c>
      <c r="Z18" s="41" t="s">
        <v>292</v>
      </c>
      <c r="AA18" s="44"/>
      <c r="AB18" s="45" t="s">
        <v>346</v>
      </c>
      <c r="AC18" s="45"/>
      <c r="AD18" s="45"/>
    </row>
    <row r="19" spans="2:30" x14ac:dyDescent="0.3">
      <c r="B19" s="52" t="s">
        <v>319</v>
      </c>
      <c r="C19" s="52">
        <v>2026</v>
      </c>
      <c r="D19" s="50" t="s">
        <v>159</v>
      </c>
      <c r="E19" s="4"/>
      <c r="F19" s="4"/>
      <c r="G19" s="7" t="s">
        <v>161</v>
      </c>
      <c r="H19" s="7"/>
      <c r="I19" s="7"/>
      <c r="J19" s="12" t="s">
        <v>163</v>
      </c>
      <c r="K19" s="12"/>
      <c r="L19" s="18"/>
      <c r="M19" s="16" t="s">
        <v>155</v>
      </c>
      <c r="N19" s="16"/>
      <c r="O19" s="21"/>
      <c r="P19" s="24" t="s">
        <v>108</v>
      </c>
      <c r="Q19" s="24"/>
      <c r="R19" s="24" t="s">
        <v>476</v>
      </c>
      <c r="S19" s="28" t="s">
        <v>85</v>
      </c>
      <c r="T19" s="28"/>
      <c r="U19" s="37"/>
      <c r="V19" s="39" t="s">
        <v>348</v>
      </c>
      <c r="W19" s="39" t="s">
        <v>292</v>
      </c>
      <c r="X19" s="39" t="s">
        <v>507</v>
      </c>
      <c r="Y19" s="41" t="s">
        <v>349</v>
      </c>
      <c r="Z19" s="41" t="s">
        <v>292</v>
      </c>
      <c r="AA19" s="44"/>
      <c r="AB19" s="45" t="s">
        <v>350</v>
      </c>
      <c r="AC19" s="45"/>
      <c r="AD19" s="45"/>
    </row>
    <row r="20" spans="2:30" x14ac:dyDescent="0.3">
      <c r="B20" s="52" t="s">
        <v>322</v>
      </c>
      <c r="C20" s="52">
        <v>3</v>
      </c>
      <c r="D20" s="50" t="s">
        <v>167</v>
      </c>
      <c r="E20" s="4"/>
      <c r="F20" s="4"/>
      <c r="G20" s="7" t="s">
        <v>85</v>
      </c>
      <c r="H20" s="7"/>
      <c r="I20" s="7"/>
      <c r="M20" s="16" t="s">
        <v>163</v>
      </c>
      <c r="N20" s="16"/>
      <c r="O20" s="21"/>
      <c r="P20" s="24" t="s">
        <v>117</v>
      </c>
      <c r="Q20" s="24"/>
      <c r="R20" s="24" t="s">
        <v>476</v>
      </c>
      <c r="S20" s="28" t="s">
        <v>98</v>
      </c>
      <c r="T20" s="28"/>
      <c r="U20" s="37"/>
      <c r="V20" s="39" t="s">
        <v>353</v>
      </c>
      <c r="W20" s="39" t="s">
        <v>292</v>
      </c>
      <c r="X20" s="39" t="s">
        <v>508</v>
      </c>
      <c r="Y20" s="41" t="s">
        <v>354</v>
      </c>
      <c r="Z20" s="41" t="s">
        <v>292</v>
      </c>
      <c r="AA20" s="44"/>
      <c r="AB20" s="45" t="s">
        <v>355</v>
      </c>
      <c r="AC20" s="45" t="s">
        <v>292</v>
      </c>
      <c r="AD20" s="45" t="s">
        <v>509</v>
      </c>
    </row>
    <row r="21" spans="2:30" x14ac:dyDescent="0.3">
      <c r="B21" s="52" t="s">
        <v>335</v>
      </c>
      <c r="C21" s="52" t="s">
        <v>472</v>
      </c>
      <c r="D21" s="50" t="s">
        <v>171</v>
      </c>
      <c r="E21" s="4" t="s">
        <v>292</v>
      </c>
      <c r="F21" s="4" t="s">
        <v>487</v>
      </c>
      <c r="G21" s="7" t="s">
        <v>98</v>
      </c>
      <c r="H21" s="7"/>
      <c r="I21" s="7"/>
      <c r="P21" s="24" t="s">
        <v>128</v>
      </c>
      <c r="Q21" s="24"/>
      <c r="R21" s="24"/>
      <c r="S21" s="28" t="s">
        <v>18</v>
      </c>
      <c r="T21" s="28" t="s">
        <v>292</v>
      </c>
      <c r="U21" s="28" t="s">
        <v>471</v>
      </c>
      <c r="V21" s="39" t="s">
        <v>357</v>
      </c>
      <c r="W21" s="39" t="s">
        <v>292</v>
      </c>
      <c r="X21" s="39" t="s">
        <v>510</v>
      </c>
      <c r="Y21" s="41" t="s">
        <v>358</v>
      </c>
      <c r="Z21" s="41" t="s">
        <v>292</v>
      </c>
      <c r="AA21" s="44"/>
      <c r="AB21" s="45" t="s">
        <v>359</v>
      </c>
      <c r="AC21" s="45"/>
      <c r="AD21" s="45" t="s">
        <v>511</v>
      </c>
    </row>
    <row r="22" spans="2:30" x14ac:dyDescent="0.3">
      <c r="B22" s="52" t="s">
        <v>339</v>
      </c>
      <c r="C22" s="52" t="s">
        <v>38</v>
      </c>
      <c r="D22" s="50" t="s">
        <v>175</v>
      </c>
      <c r="E22" s="4"/>
      <c r="F22" s="4"/>
      <c r="G22" s="7" t="s">
        <v>18</v>
      </c>
      <c r="H22" s="7" t="s">
        <v>292</v>
      </c>
      <c r="I22" s="7" t="s">
        <v>471</v>
      </c>
      <c r="P22" s="24" t="s">
        <v>140</v>
      </c>
      <c r="Q22" s="24"/>
      <c r="R22" s="24"/>
      <c r="S22" s="28" t="s">
        <v>108</v>
      </c>
      <c r="T22" s="28"/>
      <c r="U22" s="28" t="s">
        <v>476</v>
      </c>
      <c r="V22" s="39" t="s">
        <v>362</v>
      </c>
      <c r="W22" s="39"/>
      <c r="X22" s="39"/>
      <c r="Y22" s="41" t="s">
        <v>85</v>
      </c>
      <c r="Z22" s="41"/>
      <c r="AA22" s="44"/>
      <c r="AB22" s="45" t="s">
        <v>363</v>
      </c>
      <c r="AC22" s="45"/>
      <c r="AD22" s="45"/>
    </row>
    <row r="23" spans="2:30" x14ac:dyDescent="0.3">
      <c r="B23" s="52" t="s">
        <v>343</v>
      </c>
      <c r="C23" s="52" t="s">
        <v>38</v>
      </c>
      <c r="D23" s="50" t="s">
        <v>178</v>
      </c>
      <c r="E23" s="4"/>
      <c r="F23" s="4"/>
      <c r="G23" s="7" t="s">
        <v>108</v>
      </c>
      <c r="H23" s="7"/>
      <c r="I23" s="7" t="s">
        <v>476</v>
      </c>
      <c r="P23" s="24" t="s">
        <v>148</v>
      </c>
      <c r="Q23" s="24"/>
      <c r="R23" s="24"/>
      <c r="S23" s="28" t="s">
        <v>117</v>
      </c>
      <c r="T23" s="28"/>
      <c r="U23" s="28" t="s">
        <v>476</v>
      </c>
      <c r="V23" s="39" t="s">
        <v>366</v>
      </c>
      <c r="W23" s="39"/>
      <c r="X23" s="39"/>
      <c r="Y23" s="41" t="s">
        <v>98</v>
      </c>
      <c r="Z23" s="41"/>
      <c r="AA23" s="44"/>
      <c r="AB23" s="45" t="s">
        <v>367</v>
      </c>
      <c r="AC23" s="45" t="s">
        <v>292</v>
      </c>
      <c r="AD23" s="45" t="s">
        <v>512</v>
      </c>
    </row>
    <row r="24" spans="2:30" x14ac:dyDescent="0.3">
      <c r="B24" s="52" t="s">
        <v>347</v>
      </c>
      <c r="C24" s="52" t="s">
        <v>38</v>
      </c>
      <c r="D24" s="50" t="s">
        <v>181</v>
      </c>
      <c r="E24" s="4"/>
      <c r="F24" s="4"/>
      <c r="G24" s="7" t="s">
        <v>117</v>
      </c>
      <c r="H24" s="7"/>
      <c r="I24" s="7" t="s">
        <v>476</v>
      </c>
      <c r="P24" s="24" t="s">
        <v>155</v>
      </c>
      <c r="Q24" s="24"/>
      <c r="R24" s="24"/>
      <c r="S24" s="28" t="s">
        <v>128</v>
      </c>
      <c r="T24" s="28"/>
      <c r="U24" s="37"/>
      <c r="V24" s="39" t="s">
        <v>368</v>
      </c>
      <c r="W24" s="39"/>
      <c r="X24" s="39"/>
      <c r="Y24" s="41" t="s">
        <v>18</v>
      </c>
      <c r="Z24" s="41" t="s">
        <v>292</v>
      </c>
      <c r="AA24" s="44"/>
      <c r="AB24" s="45" t="s">
        <v>369</v>
      </c>
      <c r="AC24" s="45"/>
      <c r="AD24" s="45"/>
    </row>
    <row r="25" spans="2:30" x14ac:dyDescent="0.3">
      <c r="B25" s="52" t="s">
        <v>351</v>
      </c>
      <c r="C25" s="52" t="s">
        <v>38</v>
      </c>
      <c r="D25" s="50" t="s">
        <v>185</v>
      </c>
      <c r="E25" s="4"/>
      <c r="F25" s="4"/>
      <c r="G25" s="7" t="s">
        <v>128</v>
      </c>
      <c r="H25" s="7"/>
      <c r="I25" s="7"/>
      <c r="P25" s="24" t="s">
        <v>163</v>
      </c>
      <c r="Q25" s="24"/>
      <c r="R25" s="24"/>
      <c r="S25" s="28" t="s">
        <v>140</v>
      </c>
      <c r="T25" s="28"/>
      <c r="U25" s="37"/>
      <c r="V25" s="39" t="s">
        <v>370</v>
      </c>
      <c r="W25" s="39"/>
      <c r="X25" s="39"/>
      <c r="Y25" s="41" t="s">
        <v>108</v>
      </c>
      <c r="Z25" s="41"/>
      <c r="AA25" s="44"/>
      <c r="AB25" s="45" t="s">
        <v>371</v>
      </c>
      <c r="AC25" s="45" t="s">
        <v>292</v>
      </c>
      <c r="AD25" s="45" t="s">
        <v>513</v>
      </c>
    </row>
    <row r="26" spans="2:30" x14ac:dyDescent="0.3">
      <c r="B26" s="52" t="s">
        <v>501</v>
      </c>
      <c r="C26" s="52" t="s">
        <v>514</v>
      </c>
      <c r="D26" s="50" t="s">
        <v>189</v>
      </c>
      <c r="E26" s="4"/>
      <c r="F26" s="4"/>
      <c r="G26" s="7" t="s">
        <v>140</v>
      </c>
      <c r="H26" s="7"/>
      <c r="I26" s="7"/>
      <c r="P26" s="56" t="s">
        <v>374</v>
      </c>
      <c r="Q26" s="57"/>
      <c r="R26" s="58"/>
      <c r="S26" s="28" t="s">
        <v>148</v>
      </c>
      <c r="T26" s="28"/>
      <c r="U26" s="37"/>
      <c r="V26" s="39" t="s">
        <v>85</v>
      </c>
      <c r="W26" s="39"/>
      <c r="X26" s="39"/>
      <c r="Y26" s="41" t="s">
        <v>117</v>
      </c>
      <c r="Z26" s="41" t="s">
        <v>292</v>
      </c>
      <c r="AA26" s="44"/>
      <c r="AB26" s="45" t="s">
        <v>375</v>
      </c>
      <c r="AC26" s="45" t="s">
        <v>292</v>
      </c>
      <c r="AD26" s="45" t="s">
        <v>515</v>
      </c>
    </row>
    <row r="27" spans="2:30" x14ac:dyDescent="0.3">
      <c r="B27" s="52" t="s">
        <v>516</v>
      </c>
      <c r="C27" s="52" t="s">
        <v>517</v>
      </c>
      <c r="D27" s="50" t="s">
        <v>193</v>
      </c>
      <c r="E27" s="4"/>
      <c r="F27" s="4"/>
      <c r="G27" s="7" t="s">
        <v>148</v>
      </c>
      <c r="H27" s="7"/>
      <c r="I27" s="7"/>
      <c r="P27" s="24" t="s">
        <v>195</v>
      </c>
      <c r="Q27" s="24" t="s">
        <v>292</v>
      </c>
      <c r="R27" s="24" t="s">
        <v>518</v>
      </c>
      <c r="S27" s="28" t="s">
        <v>155</v>
      </c>
      <c r="T27" s="28"/>
      <c r="U27" s="37"/>
      <c r="V27" s="39" t="s">
        <v>98</v>
      </c>
      <c r="W27" s="39"/>
      <c r="X27" s="39"/>
      <c r="Y27" s="41" t="s">
        <v>128</v>
      </c>
      <c r="Z27" s="41"/>
      <c r="AA27" s="44"/>
      <c r="AB27" s="45" t="s">
        <v>378</v>
      </c>
      <c r="AC27" s="45" t="s">
        <v>292</v>
      </c>
      <c r="AD27" s="45" t="s">
        <v>519</v>
      </c>
    </row>
    <row r="28" spans="2:30" x14ac:dyDescent="0.3">
      <c r="B28" s="52" t="s">
        <v>520</v>
      </c>
      <c r="C28" s="52">
        <v>14010</v>
      </c>
      <c r="D28" s="50" t="s">
        <v>197</v>
      </c>
      <c r="E28" s="4"/>
      <c r="F28" s="4"/>
      <c r="G28" s="7" t="s">
        <v>155</v>
      </c>
      <c r="H28" s="7"/>
      <c r="I28" s="7"/>
      <c r="P28" s="24" t="s">
        <v>199</v>
      </c>
      <c r="Q28" s="24" t="s">
        <v>292</v>
      </c>
      <c r="R28" s="24" t="s">
        <v>521</v>
      </c>
      <c r="S28" s="28" t="s">
        <v>163</v>
      </c>
      <c r="T28" s="28"/>
      <c r="U28" s="37"/>
      <c r="V28" s="39" t="s">
        <v>18</v>
      </c>
      <c r="W28" s="39" t="s">
        <v>292</v>
      </c>
      <c r="X28" s="39" t="s">
        <v>471</v>
      </c>
      <c r="Y28" s="41" t="s">
        <v>140</v>
      </c>
      <c r="Z28" s="41"/>
      <c r="AA28" s="44"/>
      <c r="AB28" s="45" t="s">
        <v>380</v>
      </c>
      <c r="AC28" s="45" t="s">
        <v>292</v>
      </c>
      <c r="AD28" s="45" t="s">
        <v>522</v>
      </c>
    </row>
    <row r="29" spans="2:30" x14ac:dyDescent="0.3">
      <c r="B29" s="52" t="s">
        <v>513</v>
      </c>
      <c r="C29" s="52" t="s">
        <v>523</v>
      </c>
      <c r="D29" s="50" t="s">
        <v>85</v>
      </c>
      <c r="E29" s="4"/>
      <c r="F29" s="4"/>
      <c r="G29" s="7" t="s">
        <v>163</v>
      </c>
      <c r="H29" s="7"/>
      <c r="I29" s="7"/>
      <c r="P29" s="24" t="s">
        <v>202</v>
      </c>
      <c r="Q29" s="24" t="s">
        <v>292</v>
      </c>
      <c r="R29" s="24" t="s">
        <v>524</v>
      </c>
      <c r="V29" s="39" t="s">
        <v>108</v>
      </c>
      <c r="W29" s="39"/>
      <c r="X29" s="39" t="s">
        <v>476</v>
      </c>
      <c r="Y29" s="41" t="s">
        <v>148</v>
      </c>
      <c r="Z29" s="41"/>
      <c r="AA29" s="44"/>
      <c r="AB29" s="45" t="s">
        <v>382</v>
      </c>
      <c r="AC29" s="45" t="s">
        <v>292</v>
      </c>
      <c r="AD29" s="45" t="s">
        <v>525</v>
      </c>
    </row>
    <row r="30" spans="2:30" x14ac:dyDescent="0.3">
      <c r="B30" s="52" t="s">
        <v>521</v>
      </c>
      <c r="C30" s="52">
        <v>371100482</v>
      </c>
      <c r="D30" s="50" t="s">
        <v>98</v>
      </c>
      <c r="E30" s="4"/>
      <c r="F30" s="4"/>
      <c r="P30" s="24" t="s">
        <v>205</v>
      </c>
      <c r="Q30" s="24" t="s">
        <v>292</v>
      </c>
      <c r="R30" s="24" t="s">
        <v>526</v>
      </c>
      <c r="V30" s="39" t="s">
        <v>117</v>
      </c>
      <c r="W30" s="39"/>
      <c r="X30" s="39" t="s">
        <v>476</v>
      </c>
      <c r="Y30" s="41" t="s">
        <v>155</v>
      </c>
      <c r="Z30" s="41"/>
      <c r="AA30" s="44"/>
      <c r="AB30" s="45" t="s">
        <v>385</v>
      </c>
      <c r="AC30" s="45"/>
      <c r="AD30" s="45"/>
    </row>
    <row r="31" spans="2:30" x14ac:dyDescent="0.3">
      <c r="B31" s="52" t="s">
        <v>527</v>
      </c>
      <c r="C31" s="52">
        <v>1194821553</v>
      </c>
      <c r="D31" s="50" t="s">
        <v>207</v>
      </c>
      <c r="E31" s="4" t="s">
        <v>292</v>
      </c>
      <c r="F31" s="4" t="s">
        <v>471</v>
      </c>
      <c r="P31" s="24" t="s">
        <v>209</v>
      </c>
      <c r="Q31" s="24" t="s">
        <v>292</v>
      </c>
      <c r="R31" s="24" t="s">
        <v>528</v>
      </c>
      <c r="V31" s="39" t="s">
        <v>128</v>
      </c>
      <c r="W31" s="39"/>
      <c r="X31" s="39"/>
      <c r="Y31" s="41" t="s">
        <v>163</v>
      </c>
      <c r="Z31" s="41"/>
      <c r="AA31" s="44"/>
      <c r="AB31" s="45" t="s">
        <v>387</v>
      </c>
      <c r="AC31" s="45"/>
      <c r="AD31" s="45"/>
    </row>
    <row r="32" spans="2:30" x14ac:dyDescent="0.3">
      <c r="B32" s="52" t="s">
        <v>524</v>
      </c>
      <c r="C32" s="52">
        <v>141813</v>
      </c>
      <c r="D32" s="50" t="s">
        <v>108</v>
      </c>
      <c r="E32" s="4"/>
      <c r="F32" s="4" t="s">
        <v>476</v>
      </c>
      <c r="P32" s="24" t="s">
        <v>211</v>
      </c>
      <c r="Q32" s="24" t="s">
        <v>292</v>
      </c>
      <c r="R32" s="24" t="s">
        <v>529</v>
      </c>
      <c r="V32" s="39" t="s">
        <v>140</v>
      </c>
      <c r="W32" s="39"/>
      <c r="X32" s="39"/>
      <c r="AB32" s="45" t="s">
        <v>390</v>
      </c>
      <c r="AC32" s="45"/>
      <c r="AD32" s="45"/>
    </row>
    <row r="33" spans="2:30" x14ac:dyDescent="0.3">
      <c r="B33" s="52" t="s">
        <v>518</v>
      </c>
      <c r="C33" s="52" t="s">
        <v>530</v>
      </c>
      <c r="D33" s="50" t="s">
        <v>117</v>
      </c>
      <c r="E33" s="4"/>
      <c r="F33" s="4" t="s">
        <v>476</v>
      </c>
      <c r="P33" s="24" t="s">
        <v>213</v>
      </c>
      <c r="Q33" s="24"/>
      <c r="R33" s="24"/>
      <c r="V33" s="39" t="s">
        <v>148</v>
      </c>
      <c r="W33" s="39"/>
      <c r="X33" s="39"/>
      <c r="AB33" s="45" t="s">
        <v>393</v>
      </c>
      <c r="AC33" s="45"/>
      <c r="AD33" s="45"/>
    </row>
    <row r="34" spans="2:30" x14ac:dyDescent="0.3">
      <c r="B34" s="52" t="s">
        <v>531</v>
      </c>
      <c r="C34" s="52" t="s">
        <v>532</v>
      </c>
      <c r="D34" s="50" t="s">
        <v>128</v>
      </c>
      <c r="E34" s="4"/>
      <c r="F34" s="4"/>
      <c r="P34" s="24" t="s">
        <v>109</v>
      </c>
      <c r="Q34" s="24" t="s">
        <v>292</v>
      </c>
      <c r="R34" s="24" t="s">
        <v>533</v>
      </c>
      <c r="V34" s="39" t="s">
        <v>155</v>
      </c>
      <c r="W34" s="39"/>
      <c r="X34" s="39"/>
      <c r="AB34" s="45" t="s">
        <v>85</v>
      </c>
      <c r="AC34" s="45"/>
      <c r="AD34" s="45"/>
    </row>
    <row r="35" spans="2:30" x14ac:dyDescent="0.3">
      <c r="B35" s="52" t="s">
        <v>528</v>
      </c>
      <c r="C35" s="52" t="s">
        <v>534</v>
      </c>
      <c r="D35" s="50" t="s">
        <v>140</v>
      </c>
      <c r="E35" s="4"/>
      <c r="F35" s="4"/>
      <c r="P35" s="24" t="s">
        <v>85</v>
      </c>
      <c r="Q35" s="24"/>
      <c r="R35" s="24"/>
      <c r="V35" s="39" t="s">
        <v>163</v>
      </c>
      <c r="W35" s="39"/>
      <c r="X35" s="39"/>
      <c r="AB35" s="45" t="s">
        <v>98</v>
      </c>
      <c r="AC35" s="45"/>
      <c r="AD35" s="45"/>
    </row>
    <row r="36" spans="2:30" x14ac:dyDescent="0.3">
      <c r="B36" s="52" t="s">
        <v>529</v>
      </c>
      <c r="C36" s="52" t="s">
        <v>534</v>
      </c>
      <c r="D36" s="50" t="s">
        <v>148</v>
      </c>
      <c r="E36" s="4"/>
      <c r="F36" s="4"/>
      <c r="P36" s="24" t="s">
        <v>98</v>
      </c>
      <c r="Q36" s="24"/>
      <c r="R36" s="24"/>
      <c r="AB36" s="45" t="s">
        <v>18</v>
      </c>
      <c r="AC36" s="45" t="s">
        <v>292</v>
      </c>
      <c r="AD36" s="45" t="s">
        <v>471</v>
      </c>
    </row>
    <row r="37" spans="2:30" x14ac:dyDescent="0.3">
      <c r="B37" s="52" t="s">
        <v>512</v>
      </c>
      <c r="C37" s="52">
        <v>1</v>
      </c>
      <c r="D37" s="50" t="s">
        <v>155</v>
      </c>
      <c r="E37" s="4"/>
      <c r="F37" s="4"/>
      <c r="P37" s="24" t="s">
        <v>18</v>
      </c>
      <c r="Q37" s="24" t="s">
        <v>292</v>
      </c>
      <c r="R37" s="24" t="s">
        <v>471</v>
      </c>
      <c r="AB37" s="45" t="s">
        <v>108</v>
      </c>
      <c r="AC37" s="45"/>
      <c r="AD37" s="45" t="s">
        <v>476</v>
      </c>
    </row>
    <row r="38" spans="2:30" x14ac:dyDescent="0.3">
      <c r="B38" s="52" t="s">
        <v>515</v>
      </c>
      <c r="C38" s="52">
        <v>1</v>
      </c>
      <c r="D38" s="50" t="s">
        <v>163</v>
      </c>
      <c r="E38" s="4"/>
      <c r="F38" s="4"/>
      <c r="P38" s="24" t="s">
        <v>108</v>
      </c>
      <c r="Q38" s="24"/>
      <c r="R38" s="24" t="s">
        <v>476</v>
      </c>
      <c r="AB38" s="45" t="s">
        <v>117</v>
      </c>
      <c r="AC38" s="45" t="s">
        <v>292</v>
      </c>
      <c r="AD38" s="45" t="s">
        <v>476</v>
      </c>
    </row>
    <row r="39" spans="2:30" x14ac:dyDescent="0.3">
      <c r="B39" s="52" t="s">
        <v>519</v>
      </c>
      <c r="C39" s="52" t="s">
        <v>535</v>
      </c>
      <c r="P39" s="24" t="s">
        <v>117</v>
      </c>
      <c r="Q39" s="24"/>
      <c r="R39" s="24" t="s">
        <v>476</v>
      </c>
      <c r="AB39" s="45" t="s">
        <v>128</v>
      </c>
      <c r="AC39" s="45"/>
      <c r="AD39" s="45"/>
    </row>
    <row r="40" spans="2:30" x14ac:dyDescent="0.3">
      <c r="B40" s="52" t="s">
        <v>511</v>
      </c>
      <c r="C40" s="52">
        <v>0</v>
      </c>
      <c r="P40" s="24" t="s">
        <v>128</v>
      </c>
      <c r="Q40" s="24"/>
      <c r="R40" s="24"/>
      <c r="AB40" s="45" t="s">
        <v>140</v>
      </c>
      <c r="AC40" s="45"/>
      <c r="AD40" s="45"/>
    </row>
    <row r="41" spans="2:30" x14ac:dyDescent="0.3">
      <c r="B41" s="52" t="s">
        <v>492</v>
      </c>
      <c r="C41" s="52" t="s">
        <v>536</v>
      </c>
      <c r="P41" s="24" t="s">
        <v>140</v>
      </c>
      <c r="Q41" s="24"/>
      <c r="R41" s="24"/>
      <c r="AB41" s="45" t="s">
        <v>148</v>
      </c>
      <c r="AC41" s="45"/>
      <c r="AD41" s="45"/>
    </row>
    <row r="42" spans="2:30" x14ac:dyDescent="0.3">
      <c r="B42" s="52" t="s">
        <v>496</v>
      </c>
      <c r="C42" s="52" t="s">
        <v>537</v>
      </c>
      <c r="P42" s="24" t="s">
        <v>148</v>
      </c>
      <c r="Q42" s="24"/>
      <c r="R42" s="24"/>
      <c r="AB42" s="45" t="s">
        <v>155</v>
      </c>
      <c r="AC42" s="45"/>
      <c r="AD42" s="45"/>
    </row>
    <row r="43" spans="2:30" x14ac:dyDescent="0.3">
      <c r="B43" s="52" t="s">
        <v>507</v>
      </c>
      <c r="C43" s="52">
        <v>12</v>
      </c>
      <c r="P43" s="24" t="s">
        <v>155</v>
      </c>
      <c r="Q43" s="24"/>
      <c r="R43" s="24"/>
      <c r="AB43" s="45" t="s">
        <v>163</v>
      </c>
      <c r="AC43" s="45"/>
      <c r="AD43" s="45"/>
    </row>
    <row r="44" spans="2:30" x14ac:dyDescent="0.3">
      <c r="B44" s="52" t="s">
        <v>522</v>
      </c>
      <c r="C44" s="52">
        <v>4</v>
      </c>
      <c r="P44" s="24" t="s">
        <v>163</v>
      </c>
      <c r="Q44" s="24"/>
      <c r="R44" s="24"/>
    </row>
    <row r="45" spans="2:30" x14ac:dyDescent="0.3">
      <c r="B45" s="52" t="s">
        <v>525</v>
      </c>
      <c r="C45" s="52" t="s">
        <v>538</v>
      </c>
      <c r="P45" s="56" t="s">
        <v>409</v>
      </c>
      <c r="Q45" s="57"/>
      <c r="R45" s="58"/>
    </row>
    <row r="46" spans="2:30" x14ac:dyDescent="0.3">
      <c r="B46" s="52" t="s">
        <v>539</v>
      </c>
      <c r="C46" s="52" t="s">
        <v>540</v>
      </c>
      <c r="P46" s="24" t="s">
        <v>233</v>
      </c>
      <c r="Q46" s="24" t="s">
        <v>292</v>
      </c>
      <c r="R46" s="24" t="s">
        <v>531</v>
      </c>
    </row>
    <row r="47" spans="2:30" hidden="1" x14ac:dyDescent="0.3">
      <c r="B47" s="52" t="s">
        <v>541</v>
      </c>
      <c r="C47" s="52">
        <v>0</v>
      </c>
      <c r="P47" s="24" t="s">
        <v>234</v>
      </c>
      <c r="Q47" s="24" t="s">
        <v>292</v>
      </c>
      <c r="R47" s="24" t="str">
        <f>B86</f>
        <v>HCC_COL_40</v>
      </c>
    </row>
    <row r="48" spans="2:30" hidden="1" x14ac:dyDescent="0.3">
      <c r="B48" s="52" t="s">
        <v>542</v>
      </c>
      <c r="C48" s="52">
        <v>0</v>
      </c>
      <c r="P48" s="24" t="s">
        <v>213</v>
      </c>
      <c r="Q48" s="24"/>
      <c r="R48" s="24"/>
    </row>
    <row r="49" spans="2:18" hidden="1" x14ac:dyDescent="0.3">
      <c r="B49" s="52" t="s">
        <v>543</v>
      </c>
      <c r="C49" s="52">
        <v>0</v>
      </c>
      <c r="P49" s="24" t="s">
        <v>109</v>
      </c>
      <c r="Q49" s="24" t="s">
        <v>292</v>
      </c>
      <c r="R49" s="24" t="s">
        <v>295</v>
      </c>
    </row>
    <row r="50" spans="2:18" hidden="1" x14ac:dyDescent="0.3">
      <c r="B50" s="52" t="s">
        <v>544</v>
      </c>
      <c r="C50" s="52">
        <v>0</v>
      </c>
      <c r="P50" s="24" t="s">
        <v>85</v>
      </c>
      <c r="Q50" s="24"/>
      <c r="R50" s="24"/>
    </row>
    <row r="51" spans="2:18" hidden="1" x14ac:dyDescent="0.3">
      <c r="B51" s="52" t="s">
        <v>545</v>
      </c>
      <c r="C51" s="52">
        <v>0</v>
      </c>
      <c r="P51" s="24" t="s">
        <v>98</v>
      </c>
      <c r="Q51" s="24"/>
      <c r="R51" s="24"/>
    </row>
    <row r="52" spans="2:18" hidden="1" x14ac:dyDescent="0.3">
      <c r="B52" s="52" t="s">
        <v>546</v>
      </c>
      <c r="C52" s="52">
        <v>0</v>
      </c>
      <c r="P52" s="24" t="s">
        <v>18</v>
      </c>
      <c r="Q52" s="24" t="s">
        <v>292</v>
      </c>
      <c r="R52" s="24" t="str">
        <f>B15</f>
        <v>filedate</v>
      </c>
    </row>
    <row r="53" spans="2:18" hidden="1" x14ac:dyDescent="0.3">
      <c r="B53" s="52" t="s">
        <v>547</v>
      </c>
      <c r="C53" s="52">
        <v>0</v>
      </c>
      <c r="P53" s="24" t="s">
        <v>108</v>
      </c>
      <c r="Q53" s="24"/>
      <c r="R53" s="24"/>
    </row>
    <row r="54" spans="2:18" hidden="1" x14ac:dyDescent="0.3">
      <c r="B54" s="52" t="s">
        <v>548</v>
      </c>
      <c r="C54" s="52">
        <v>0</v>
      </c>
      <c r="P54" s="24" t="s">
        <v>117</v>
      </c>
      <c r="Q54" s="24" t="s">
        <v>292</v>
      </c>
      <c r="R54" s="24" t="s">
        <v>352</v>
      </c>
    </row>
    <row r="55" spans="2:18" hidden="1" x14ac:dyDescent="0.3">
      <c r="B55" s="52" t="s">
        <v>549</v>
      </c>
      <c r="C55" s="52">
        <v>0</v>
      </c>
      <c r="P55" s="24" t="s">
        <v>128</v>
      </c>
      <c r="Q55" s="24"/>
      <c r="R55" s="24"/>
    </row>
    <row r="56" spans="2:18" hidden="1" x14ac:dyDescent="0.3">
      <c r="B56" s="52" t="s">
        <v>550</v>
      </c>
      <c r="C56" s="52">
        <v>0</v>
      </c>
      <c r="P56" s="24" t="s">
        <v>140</v>
      </c>
      <c r="Q56" s="24"/>
      <c r="R56" s="24"/>
    </row>
    <row r="57" spans="2:18" hidden="1" x14ac:dyDescent="0.3">
      <c r="B57" s="52" t="s">
        <v>551</v>
      </c>
      <c r="C57" s="52">
        <v>0</v>
      </c>
      <c r="P57" s="24" t="s">
        <v>148</v>
      </c>
      <c r="Q57" s="24"/>
      <c r="R57" s="24"/>
    </row>
    <row r="58" spans="2:18" hidden="1" x14ac:dyDescent="0.3">
      <c r="B58" s="52" t="s">
        <v>552</v>
      </c>
      <c r="C58" s="52">
        <v>0</v>
      </c>
      <c r="P58" s="24" t="s">
        <v>155</v>
      </c>
      <c r="Q58" s="24"/>
      <c r="R58" s="24"/>
    </row>
    <row r="59" spans="2:18" hidden="1" x14ac:dyDescent="0.3">
      <c r="B59" s="52" t="s">
        <v>553</v>
      </c>
      <c r="C59" s="52">
        <v>0</v>
      </c>
      <c r="P59" s="24" t="s">
        <v>163</v>
      </c>
      <c r="Q59" s="24"/>
      <c r="R59" s="24"/>
    </row>
    <row r="60" spans="2:18" hidden="1" x14ac:dyDescent="0.3">
      <c r="B60" s="52" t="s">
        <v>554</v>
      </c>
      <c r="C60" s="52">
        <v>1</v>
      </c>
      <c r="R60" s="55"/>
    </row>
    <row r="61" spans="2:18" hidden="1" x14ac:dyDescent="0.3">
      <c r="B61" s="52" t="s">
        <v>555</v>
      </c>
      <c r="C61" s="52">
        <v>0</v>
      </c>
      <c r="R61" s="55"/>
    </row>
    <row r="62" spans="2:18" hidden="1" x14ac:dyDescent="0.3">
      <c r="B62" s="52" t="s">
        <v>556</v>
      </c>
      <c r="C62" s="52">
        <v>0</v>
      </c>
      <c r="R62" s="55"/>
    </row>
    <row r="63" spans="2:18" hidden="1" x14ac:dyDescent="0.3">
      <c r="B63" s="52" t="s">
        <v>557</v>
      </c>
      <c r="C63" s="52">
        <v>0</v>
      </c>
      <c r="R63" s="55"/>
    </row>
    <row r="64" spans="2:18" hidden="1" x14ac:dyDescent="0.3">
      <c r="B64" s="52" t="s">
        <v>558</v>
      </c>
      <c r="C64" s="52">
        <v>0</v>
      </c>
      <c r="R64" s="55"/>
    </row>
    <row r="65" spans="2:18" hidden="1" x14ac:dyDescent="0.3">
      <c r="B65" s="52" t="s">
        <v>559</v>
      </c>
      <c r="C65" s="52">
        <v>0</v>
      </c>
      <c r="R65" s="55"/>
    </row>
    <row r="66" spans="2:18" hidden="1" x14ac:dyDescent="0.3">
      <c r="B66" s="52" t="s">
        <v>560</v>
      </c>
      <c r="C66" s="52">
        <v>0</v>
      </c>
      <c r="R66" s="55"/>
    </row>
    <row r="67" spans="2:18" hidden="1" x14ac:dyDescent="0.3">
      <c r="B67" s="52" t="s">
        <v>561</v>
      </c>
      <c r="C67" s="52">
        <v>0</v>
      </c>
      <c r="R67" s="55"/>
    </row>
    <row r="68" spans="2:18" hidden="1" x14ac:dyDescent="0.3">
      <c r="B68" s="52" t="s">
        <v>562</v>
      </c>
      <c r="C68" s="52">
        <v>0</v>
      </c>
      <c r="R68" s="55"/>
    </row>
    <row r="69" spans="2:18" hidden="1" x14ac:dyDescent="0.3">
      <c r="B69" s="52" t="s">
        <v>563</v>
      </c>
      <c r="C69" s="52">
        <v>0</v>
      </c>
      <c r="R69" s="55"/>
    </row>
    <row r="70" spans="2:18" hidden="1" x14ac:dyDescent="0.3">
      <c r="B70" s="52" t="s">
        <v>564</v>
      </c>
      <c r="C70" s="52">
        <v>0</v>
      </c>
      <c r="R70" s="55"/>
    </row>
    <row r="71" spans="2:18" hidden="1" x14ac:dyDescent="0.3">
      <c r="B71" s="52" t="s">
        <v>565</v>
      </c>
      <c r="C71" s="52">
        <v>0</v>
      </c>
      <c r="R71" s="55"/>
    </row>
    <row r="72" spans="2:18" hidden="1" x14ac:dyDescent="0.3">
      <c r="B72" s="52" t="s">
        <v>566</v>
      </c>
      <c r="C72" s="52">
        <v>0</v>
      </c>
      <c r="R72" s="55"/>
    </row>
    <row r="73" spans="2:18" hidden="1" x14ac:dyDescent="0.3">
      <c r="B73" s="52" t="s">
        <v>567</v>
      </c>
      <c r="C73" s="52">
        <v>0</v>
      </c>
      <c r="R73" s="55"/>
    </row>
    <row r="74" spans="2:18" hidden="1" x14ac:dyDescent="0.3">
      <c r="B74" s="52" t="s">
        <v>568</v>
      </c>
      <c r="C74" s="52">
        <v>0</v>
      </c>
      <c r="R74" s="55"/>
    </row>
    <row r="75" spans="2:18" hidden="1" x14ac:dyDescent="0.3">
      <c r="B75" s="52" t="s">
        <v>569</v>
      </c>
      <c r="C75" s="52">
        <v>0</v>
      </c>
      <c r="R75" s="55"/>
    </row>
    <row r="76" spans="2:18" hidden="1" x14ac:dyDescent="0.3">
      <c r="B76" s="52" t="s">
        <v>570</v>
      </c>
      <c r="C76" s="52">
        <v>0</v>
      </c>
      <c r="R76" s="55"/>
    </row>
    <row r="77" spans="2:18" hidden="1" x14ac:dyDescent="0.3">
      <c r="B77" s="52" t="s">
        <v>571</v>
      </c>
      <c r="C77" s="52">
        <v>0</v>
      </c>
      <c r="R77" s="55"/>
    </row>
    <row r="78" spans="2:18" hidden="1" x14ac:dyDescent="0.3">
      <c r="B78" s="52" t="s">
        <v>572</v>
      </c>
      <c r="C78" s="52">
        <v>0</v>
      </c>
      <c r="R78" s="55"/>
    </row>
    <row r="79" spans="2:18" hidden="1" x14ac:dyDescent="0.3">
      <c r="B79" s="52" t="s">
        <v>573</v>
      </c>
      <c r="C79" s="52">
        <v>0</v>
      </c>
      <c r="R79" s="55"/>
    </row>
    <row r="80" spans="2:18" hidden="1" x14ac:dyDescent="0.3">
      <c r="B80" s="52" t="s">
        <v>574</v>
      </c>
      <c r="C80" s="52">
        <v>0</v>
      </c>
      <c r="R80" s="55"/>
    </row>
    <row r="81" spans="2:18" hidden="1" x14ac:dyDescent="0.3">
      <c r="B81" s="52" t="s">
        <v>575</v>
      </c>
      <c r="C81" s="52">
        <v>0</v>
      </c>
      <c r="R81" s="55"/>
    </row>
    <row r="82" spans="2:18" hidden="1" x14ac:dyDescent="0.3">
      <c r="B82" s="52" t="s">
        <v>576</v>
      </c>
      <c r="C82" s="52">
        <v>0</v>
      </c>
      <c r="R82" s="55"/>
    </row>
    <row r="83" spans="2:18" hidden="1" x14ac:dyDescent="0.3">
      <c r="B83" s="52" t="s">
        <v>577</v>
      </c>
      <c r="C83" s="52">
        <v>0</v>
      </c>
      <c r="R83" s="55"/>
    </row>
    <row r="84" spans="2:18" hidden="1" x14ac:dyDescent="0.3">
      <c r="B84" s="52" t="s">
        <v>578</v>
      </c>
      <c r="C84" s="52">
        <v>0</v>
      </c>
      <c r="R84" s="55"/>
    </row>
    <row r="85" spans="2:18" hidden="1" x14ac:dyDescent="0.3">
      <c r="B85" s="52" t="s">
        <v>579</v>
      </c>
      <c r="C85" s="52">
        <v>0</v>
      </c>
      <c r="R85" s="55"/>
    </row>
    <row r="86" spans="2:18" hidden="1" x14ac:dyDescent="0.3">
      <c r="B86" s="52" t="s">
        <v>580</v>
      </c>
      <c r="C86" s="52">
        <v>0</v>
      </c>
      <c r="R86" s="55"/>
    </row>
    <row r="87" spans="2:18" hidden="1" x14ac:dyDescent="0.3">
      <c r="B87" s="52" t="s">
        <v>581</v>
      </c>
      <c r="C87" s="52">
        <v>0</v>
      </c>
      <c r="R87" s="55"/>
    </row>
    <row r="88" spans="2:18" hidden="1" x14ac:dyDescent="0.3">
      <c r="B88" s="52" t="s">
        <v>582</v>
      </c>
      <c r="C88" s="52">
        <v>0</v>
      </c>
      <c r="R88" s="55"/>
    </row>
    <row r="89" spans="2:18" hidden="1" x14ac:dyDescent="0.3">
      <c r="B89" s="52" t="s">
        <v>583</v>
      </c>
      <c r="C89" s="52">
        <v>0</v>
      </c>
      <c r="R89" s="55"/>
    </row>
    <row r="90" spans="2:18" hidden="1" x14ac:dyDescent="0.3">
      <c r="B90" s="52" t="s">
        <v>584</v>
      </c>
      <c r="C90" s="52">
        <v>0</v>
      </c>
      <c r="R90" s="55"/>
    </row>
    <row r="91" spans="2:18" hidden="1" x14ac:dyDescent="0.3">
      <c r="B91" s="52" t="s">
        <v>585</v>
      </c>
      <c r="C91" s="52">
        <v>0</v>
      </c>
      <c r="R91" s="55"/>
    </row>
    <row r="92" spans="2:18" hidden="1" x14ac:dyDescent="0.3">
      <c r="B92" s="52" t="s">
        <v>586</v>
      </c>
      <c r="C92" s="52">
        <v>0</v>
      </c>
      <c r="R92" s="55"/>
    </row>
    <row r="93" spans="2:18" hidden="1" x14ac:dyDescent="0.3">
      <c r="B93" s="52" t="s">
        <v>587</v>
      </c>
      <c r="C93" s="52">
        <v>0</v>
      </c>
      <c r="R93" s="55"/>
    </row>
    <row r="94" spans="2:18" hidden="1" x14ac:dyDescent="0.3">
      <c r="B94" s="52" t="s">
        <v>588</v>
      </c>
      <c r="C94" s="52">
        <v>0</v>
      </c>
      <c r="R94" s="55"/>
    </row>
    <row r="95" spans="2:18" hidden="1" x14ac:dyDescent="0.3">
      <c r="B95" s="52" t="s">
        <v>589</v>
      </c>
      <c r="C95" s="52">
        <v>0</v>
      </c>
      <c r="R95" s="55"/>
    </row>
    <row r="96" spans="2:18" hidden="1" x14ac:dyDescent="0.3">
      <c r="B96" s="52" t="s">
        <v>590</v>
      </c>
      <c r="C96" s="52">
        <v>0</v>
      </c>
      <c r="R96" s="55"/>
    </row>
    <row r="97" spans="2:18" hidden="1" x14ac:dyDescent="0.3">
      <c r="B97" s="52" t="s">
        <v>591</v>
      </c>
      <c r="C97" s="52">
        <v>0</v>
      </c>
      <c r="R97" s="55"/>
    </row>
    <row r="98" spans="2:18" hidden="1" x14ac:dyDescent="0.3">
      <c r="B98" s="52" t="s">
        <v>592</v>
      </c>
      <c r="C98" s="52">
        <v>0</v>
      </c>
      <c r="R98" s="55"/>
    </row>
    <row r="99" spans="2:18" hidden="1" x14ac:dyDescent="0.3">
      <c r="B99" s="52" t="s">
        <v>593</v>
      </c>
      <c r="C99" s="52">
        <v>0</v>
      </c>
      <c r="R99" s="55"/>
    </row>
    <row r="100" spans="2:18" hidden="1" x14ac:dyDescent="0.3">
      <c r="B100" s="52" t="s">
        <v>594</v>
      </c>
      <c r="C100" s="52">
        <v>0</v>
      </c>
      <c r="R100" s="55"/>
    </row>
    <row r="101" spans="2:18" hidden="1" x14ac:dyDescent="0.3">
      <c r="B101" s="52" t="s">
        <v>595</v>
      </c>
      <c r="C101" s="52">
        <v>0</v>
      </c>
      <c r="R101" s="55"/>
    </row>
    <row r="102" spans="2:18" hidden="1" x14ac:dyDescent="0.3">
      <c r="B102" s="52" t="s">
        <v>596</v>
      </c>
      <c r="C102" s="52">
        <v>0</v>
      </c>
      <c r="R102" s="55"/>
    </row>
    <row r="103" spans="2:18" hidden="1" x14ac:dyDescent="0.3">
      <c r="B103" s="52" t="s">
        <v>597</v>
      </c>
      <c r="C103" s="52">
        <v>0</v>
      </c>
      <c r="R103" s="55"/>
    </row>
    <row r="104" spans="2:18" hidden="1" x14ac:dyDescent="0.3">
      <c r="B104" s="52" t="s">
        <v>598</v>
      </c>
      <c r="C104" s="52">
        <v>0</v>
      </c>
      <c r="R104" s="55"/>
    </row>
    <row r="105" spans="2:18" hidden="1" x14ac:dyDescent="0.3">
      <c r="B105" s="52" t="s">
        <v>599</v>
      </c>
      <c r="C105" s="52">
        <v>0</v>
      </c>
      <c r="R105" s="55"/>
    </row>
    <row r="106" spans="2:18" hidden="1" x14ac:dyDescent="0.3">
      <c r="B106" s="52" t="s">
        <v>600</v>
      </c>
      <c r="C106" s="52">
        <v>0</v>
      </c>
      <c r="R106" s="55"/>
    </row>
    <row r="107" spans="2:18" hidden="1" x14ac:dyDescent="0.3">
      <c r="B107" s="52" t="s">
        <v>601</v>
      </c>
      <c r="C107" s="52">
        <v>0</v>
      </c>
      <c r="R107" s="55"/>
    </row>
    <row r="108" spans="2:18" hidden="1" x14ac:dyDescent="0.3">
      <c r="B108" s="52" t="s">
        <v>602</v>
      </c>
      <c r="C108" s="52">
        <v>0</v>
      </c>
      <c r="R108" s="55"/>
    </row>
    <row r="109" spans="2:18" hidden="1" x14ac:dyDescent="0.3">
      <c r="B109" s="52" t="s">
        <v>603</v>
      </c>
      <c r="C109" s="52">
        <v>0</v>
      </c>
      <c r="R109" s="55"/>
    </row>
    <row r="110" spans="2:18" hidden="1" x14ac:dyDescent="0.3">
      <c r="B110" s="52" t="s">
        <v>604</v>
      </c>
      <c r="C110" s="52">
        <v>0</v>
      </c>
      <c r="R110" s="55"/>
    </row>
    <row r="111" spans="2:18" hidden="1" x14ac:dyDescent="0.3">
      <c r="B111" s="52" t="s">
        <v>605</v>
      </c>
      <c r="C111" s="52">
        <v>0</v>
      </c>
      <c r="R111" s="55"/>
    </row>
    <row r="112" spans="2:18" hidden="1" x14ac:dyDescent="0.3">
      <c r="B112" s="52" t="s">
        <v>606</v>
      </c>
      <c r="C112" s="52">
        <v>0</v>
      </c>
      <c r="R112" s="55"/>
    </row>
    <row r="113" spans="2:18" hidden="1" x14ac:dyDescent="0.3">
      <c r="B113" s="52" t="s">
        <v>607</v>
      </c>
      <c r="C113" s="52">
        <v>0</v>
      </c>
      <c r="R113" s="55"/>
    </row>
    <row r="114" spans="2:18" hidden="1" x14ac:dyDescent="0.3">
      <c r="B114" s="52" t="s">
        <v>608</v>
      </c>
      <c r="C114" s="52">
        <v>0</v>
      </c>
      <c r="R114" s="55"/>
    </row>
    <row r="115" spans="2:18" hidden="1" x14ac:dyDescent="0.3">
      <c r="B115" s="52" t="s">
        <v>609</v>
      </c>
      <c r="C115" s="52">
        <v>0</v>
      </c>
      <c r="R115" s="55"/>
    </row>
    <row r="116" spans="2:18" hidden="1" x14ac:dyDescent="0.3">
      <c r="B116" s="52" t="s">
        <v>610</v>
      </c>
      <c r="C116" s="52">
        <v>0</v>
      </c>
      <c r="R116" s="55"/>
    </row>
    <row r="117" spans="2:18" hidden="1" x14ac:dyDescent="0.3">
      <c r="B117" s="52" t="s">
        <v>611</v>
      </c>
      <c r="C117" s="52">
        <v>0</v>
      </c>
      <c r="R117" s="55"/>
    </row>
    <row r="118" spans="2:18" hidden="1" x14ac:dyDescent="0.3">
      <c r="B118" s="52" t="s">
        <v>612</v>
      </c>
      <c r="C118" s="52">
        <v>0</v>
      </c>
      <c r="R118" s="55"/>
    </row>
    <row r="119" spans="2:18" hidden="1" x14ac:dyDescent="0.3">
      <c r="B119" s="52" t="s">
        <v>613</v>
      </c>
      <c r="C119" s="52">
        <v>0</v>
      </c>
      <c r="R119" s="55"/>
    </row>
    <row r="120" spans="2:18" hidden="1" x14ac:dyDescent="0.3">
      <c r="B120" s="52" t="s">
        <v>614</v>
      </c>
      <c r="C120" s="52">
        <v>0</v>
      </c>
      <c r="R120" s="55"/>
    </row>
    <row r="121" spans="2:18" hidden="1" x14ac:dyDescent="0.3">
      <c r="B121" s="52" t="s">
        <v>615</v>
      </c>
      <c r="C121" s="52">
        <v>0</v>
      </c>
      <c r="R121" s="55"/>
    </row>
    <row r="122" spans="2:18" hidden="1" x14ac:dyDescent="0.3">
      <c r="B122" s="52" t="s">
        <v>616</v>
      </c>
      <c r="C122" s="52">
        <v>0</v>
      </c>
      <c r="R122" s="55"/>
    </row>
    <row r="123" spans="2:18" hidden="1" x14ac:dyDescent="0.3">
      <c r="B123" s="52" t="s">
        <v>617</v>
      </c>
      <c r="C123" s="52">
        <v>0</v>
      </c>
      <c r="R123" s="55"/>
    </row>
    <row r="124" spans="2:18" hidden="1" x14ac:dyDescent="0.3">
      <c r="B124" s="52" t="s">
        <v>618</v>
      </c>
      <c r="C124" s="52">
        <v>0</v>
      </c>
      <c r="R124" s="55"/>
    </row>
    <row r="125" spans="2:18" hidden="1" x14ac:dyDescent="0.3">
      <c r="B125" s="52" t="s">
        <v>619</v>
      </c>
      <c r="C125" s="52">
        <v>0</v>
      </c>
      <c r="R125" s="55"/>
    </row>
    <row r="126" spans="2:18" hidden="1" x14ac:dyDescent="0.3">
      <c r="B126" s="52" t="s">
        <v>620</v>
      </c>
      <c r="C126" s="52">
        <v>0</v>
      </c>
      <c r="R126" s="55"/>
    </row>
    <row r="127" spans="2:18" hidden="1" x14ac:dyDescent="0.3">
      <c r="B127" s="52" t="s">
        <v>621</v>
      </c>
      <c r="C127" s="52">
        <v>0</v>
      </c>
      <c r="R127" s="55"/>
    </row>
    <row r="128" spans="2:18" hidden="1" x14ac:dyDescent="0.3">
      <c r="B128" s="52" t="s">
        <v>622</v>
      </c>
      <c r="C128" s="52">
        <v>0</v>
      </c>
      <c r="R128" s="55"/>
    </row>
    <row r="129" spans="2:18" hidden="1" x14ac:dyDescent="0.3">
      <c r="B129" s="52" t="s">
        <v>623</v>
      </c>
      <c r="C129" s="52">
        <v>0</v>
      </c>
      <c r="R129" s="55"/>
    </row>
    <row r="130" spans="2:18" hidden="1" x14ac:dyDescent="0.3">
      <c r="B130" s="52" t="s">
        <v>624</v>
      </c>
      <c r="C130" s="52">
        <v>0</v>
      </c>
      <c r="R130" s="55"/>
    </row>
    <row r="131" spans="2:18" hidden="1" x14ac:dyDescent="0.3">
      <c r="B131" s="52" t="s">
        <v>625</v>
      </c>
      <c r="C131" s="52">
        <v>0</v>
      </c>
      <c r="R131" s="55"/>
    </row>
    <row r="132" spans="2:18" hidden="1" x14ac:dyDescent="0.3">
      <c r="B132" s="52" t="s">
        <v>626</v>
      </c>
      <c r="C132" s="52">
        <v>0</v>
      </c>
      <c r="R132" s="55"/>
    </row>
    <row r="133" spans="2:18" hidden="1" x14ac:dyDescent="0.3">
      <c r="B133" s="52" t="s">
        <v>627</v>
      </c>
      <c r="C133" s="52">
        <v>0</v>
      </c>
      <c r="R133" s="55"/>
    </row>
    <row r="134" spans="2:18" hidden="1" x14ac:dyDescent="0.3">
      <c r="B134" s="52" t="s">
        <v>628</v>
      </c>
      <c r="C134" s="52">
        <v>0</v>
      </c>
      <c r="R134" s="55"/>
    </row>
    <row r="135" spans="2:18" hidden="1" x14ac:dyDescent="0.3">
      <c r="B135" s="52" t="s">
        <v>629</v>
      </c>
      <c r="C135" s="52">
        <v>0</v>
      </c>
      <c r="R135" s="55"/>
    </row>
    <row r="136" spans="2:18" hidden="1" x14ac:dyDescent="0.3">
      <c r="B136" s="52" t="s">
        <v>630</v>
      </c>
      <c r="C136" s="52">
        <v>0</v>
      </c>
      <c r="R136" s="55"/>
    </row>
    <row r="137" spans="2:18" hidden="1" x14ac:dyDescent="0.3">
      <c r="B137" s="52" t="s">
        <v>631</v>
      </c>
      <c r="C137" s="52">
        <v>0</v>
      </c>
      <c r="R137" s="55"/>
    </row>
    <row r="138" spans="2:18" hidden="1" x14ac:dyDescent="0.3">
      <c r="B138" s="52" t="s">
        <v>632</v>
      </c>
      <c r="C138" s="52">
        <v>0</v>
      </c>
      <c r="R138" s="55"/>
    </row>
    <row r="139" spans="2:18" hidden="1" x14ac:dyDescent="0.3">
      <c r="B139" s="52" t="s">
        <v>633</v>
      </c>
      <c r="C139" s="52">
        <v>0</v>
      </c>
      <c r="R139" s="55"/>
    </row>
    <row r="140" spans="2:18" hidden="1" x14ac:dyDescent="0.3">
      <c r="B140" s="52" t="s">
        <v>634</v>
      </c>
      <c r="C140" s="52">
        <v>0</v>
      </c>
      <c r="R140" s="55"/>
    </row>
    <row r="141" spans="2:18" hidden="1" x14ac:dyDescent="0.3">
      <c r="B141" s="52" t="s">
        <v>635</v>
      </c>
      <c r="C141" s="52">
        <v>0</v>
      </c>
      <c r="R141" s="55"/>
    </row>
    <row r="142" spans="2:18" hidden="1" x14ac:dyDescent="0.3">
      <c r="B142" s="52" t="s">
        <v>636</v>
      </c>
      <c r="C142" s="52">
        <v>0</v>
      </c>
      <c r="R142" s="55"/>
    </row>
    <row r="143" spans="2:18" hidden="1" x14ac:dyDescent="0.3">
      <c r="B143" s="52" t="s">
        <v>637</v>
      </c>
      <c r="C143" s="52">
        <v>0</v>
      </c>
      <c r="R143" s="55"/>
    </row>
    <row r="144" spans="2:18" hidden="1" x14ac:dyDescent="0.3">
      <c r="B144" s="52" t="s">
        <v>638</v>
      </c>
      <c r="C144" s="52">
        <v>0</v>
      </c>
      <c r="R144" s="55"/>
    </row>
    <row r="145" spans="2:18" hidden="1" x14ac:dyDescent="0.3">
      <c r="B145" s="52" t="s">
        <v>639</v>
      </c>
      <c r="C145" s="52">
        <v>0</v>
      </c>
      <c r="R145" s="55"/>
    </row>
    <row r="146" spans="2:18" hidden="1" x14ac:dyDescent="0.3">
      <c r="B146" s="52" t="s">
        <v>640</v>
      </c>
      <c r="C146" s="52">
        <v>0</v>
      </c>
      <c r="R146" s="55"/>
    </row>
    <row r="147" spans="2:18" hidden="1" x14ac:dyDescent="0.3">
      <c r="B147" s="52" t="s">
        <v>641</v>
      </c>
      <c r="C147" s="52">
        <v>0</v>
      </c>
      <c r="R147" s="55"/>
    </row>
    <row r="148" spans="2:18" hidden="1" x14ac:dyDescent="0.3">
      <c r="B148" s="52" t="s">
        <v>642</v>
      </c>
      <c r="C148" s="52">
        <v>0</v>
      </c>
      <c r="R148" s="55"/>
    </row>
    <row r="149" spans="2:18" hidden="1" x14ac:dyDescent="0.3">
      <c r="B149" s="52" t="s">
        <v>643</v>
      </c>
      <c r="C149" s="52">
        <v>0</v>
      </c>
      <c r="R149" s="55"/>
    </row>
    <row r="150" spans="2:18" hidden="1" x14ac:dyDescent="0.3">
      <c r="B150" s="52" t="s">
        <v>644</v>
      </c>
      <c r="C150" s="52">
        <v>0</v>
      </c>
      <c r="R150" s="55"/>
    </row>
    <row r="151" spans="2:18" hidden="1" x14ac:dyDescent="0.3">
      <c r="B151" s="52" t="s">
        <v>645</v>
      </c>
      <c r="C151" s="52">
        <v>0</v>
      </c>
      <c r="R151" s="55"/>
    </row>
    <row r="152" spans="2:18" hidden="1" x14ac:dyDescent="0.3">
      <c r="B152" s="52" t="s">
        <v>646</v>
      </c>
      <c r="C152" s="52">
        <v>0</v>
      </c>
      <c r="R152" s="55"/>
    </row>
    <row r="153" spans="2:18" hidden="1" x14ac:dyDescent="0.3">
      <c r="B153" s="52" t="s">
        <v>647</v>
      </c>
      <c r="C153" s="52">
        <v>0</v>
      </c>
      <c r="R153" s="55"/>
    </row>
    <row r="154" spans="2:18" hidden="1" x14ac:dyDescent="0.3">
      <c r="B154" s="52" t="s">
        <v>648</v>
      </c>
      <c r="C154" s="52">
        <v>0</v>
      </c>
      <c r="R154" s="55"/>
    </row>
    <row r="155" spans="2:18" hidden="1" x14ac:dyDescent="0.3">
      <c r="B155" s="52" t="s">
        <v>649</v>
      </c>
      <c r="C155" s="52">
        <v>0</v>
      </c>
      <c r="R155" s="55"/>
    </row>
    <row r="156" spans="2:18" hidden="1" x14ac:dyDescent="0.3">
      <c r="B156" s="52" t="s">
        <v>650</v>
      </c>
      <c r="C156" s="52">
        <v>0</v>
      </c>
      <c r="R156" s="55"/>
    </row>
    <row r="157" spans="2:18" hidden="1" x14ac:dyDescent="0.3">
      <c r="B157" s="52" t="s">
        <v>651</v>
      </c>
      <c r="C157" s="52">
        <v>0</v>
      </c>
      <c r="R157" s="55"/>
    </row>
    <row r="158" spans="2:18" hidden="1" x14ac:dyDescent="0.3">
      <c r="B158" s="52" t="s">
        <v>652</v>
      </c>
      <c r="C158" s="52">
        <v>0</v>
      </c>
      <c r="R158" s="55"/>
    </row>
    <row r="159" spans="2:18" hidden="1" x14ac:dyDescent="0.3">
      <c r="B159" s="52" t="s">
        <v>653</v>
      </c>
      <c r="C159" s="52">
        <v>0</v>
      </c>
      <c r="R159" s="55"/>
    </row>
    <row r="160" spans="2:18" hidden="1" x14ac:dyDescent="0.3">
      <c r="B160" s="52" t="s">
        <v>654</v>
      </c>
      <c r="C160" s="52">
        <v>0</v>
      </c>
      <c r="R160" s="55"/>
    </row>
    <row r="161" spans="2:18" hidden="1" x14ac:dyDescent="0.3">
      <c r="B161" s="52" t="s">
        <v>655</v>
      </c>
      <c r="C161" s="52">
        <v>0</v>
      </c>
      <c r="R161" s="55"/>
    </row>
    <row r="162" spans="2:18" hidden="1" x14ac:dyDescent="0.3">
      <c r="B162" s="52" t="s">
        <v>656</v>
      </c>
      <c r="C162" s="52" t="s">
        <v>38</v>
      </c>
      <c r="R162" s="55"/>
    </row>
    <row r="163" spans="2:18" hidden="1" x14ac:dyDescent="0.3">
      <c r="B163" s="52" t="s">
        <v>657</v>
      </c>
      <c r="C163" s="52" t="s">
        <v>38</v>
      </c>
      <c r="R163" s="55"/>
    </row>
    <row r="164" spans="2:18" hidden="1" x14ac:dyDescent="0.3">
      <c r="B164" s="52" t="s">
        <v>658</v>
      </c>
      <c r="C164" s="52" t="s">
        <v>38</v>
      </c>
      <c r="R164" s="55"/>
    </row>
    <row r="165" spans="2:18" hidden="1" x14ac:dyDescent="0.3">
      <c r="B165" s="52" t="s">
        <v>659</v>
      </c>
      <c r="C165" s="52" t="s">
        <v>38</v>
      </c>
      <c r="R165" s="55"/>
    </row>
    <row r="166" spans="2:18" hidden="1" x14ac:dyDescent="0.3">
      <c r="B166" s="52" t="s">
        <v>660</v>
      </c>
      <c r="C166" s="52" t="s">
        <v>38</v>
      </c>
      <c r="R166" s="55"/>
    </row>
    <row r="167" spans="2:18" x14ac:dyDescent="0.3">
      <c r="B167" s="52" t="s">
        <v>661</v>
      </c>
      <c r="C167" s="52" t="s">
        <v>38</v>
      </c>
      <c r="P167" s="24" t="s">
        <v>234</v>
      </c>
      <c r="Q167" s="24" t="s">
        <v>292</v>
      </c>
      <c r="R167" s="24" t="s">
        <v>527</v>
      </c>
    </row>
    <row r="168" spans="2:18" x14ac:dyDescent="0.3">
      <c r="B168" s="52" t="s">
        <v>662</v>
      </c>
      <c r="C168" s="52" t="s">
        <v>38</v>
      </c>
      <c r="P168" s="24" t="s">
        <v>213</v>
      </c>
      <c r="Q168" s="24"/>
      <c r="R168" s="24"/>
    </row>
    <row r="169" spans="2:18" x14ac:dyDescent="0.3">
      <c r="B169" s="52" t="s">
        <v>663</v>
      </c>
      <c r="C169" s="52" t="s">
        <v>38</v>
      </c>
      <c r="P169" s="24" t="s">
        <v>109</v>
      </c>
      <c r="Q169" s="24" t="s">
        <v>292</v>
      </c>
      <c r="R169" s="24" t="s">
        <v>533</v>
      </c>
    </row>
    <row r="170" spans="2:18" x14ac:dyDescent="0.3">
      <c r="B170" s="52" t="s">
        <v>664</v>
      </c>
      <c r="C170" s="52">
        <v>0.33914760710000003</v>
      </c>
      <c r="P170" s="24" t="s">
        <v>85</v>
      </c>
      <c r="Q170" s="24"/>
      <c r="R170" s="24"/>
    </row>
    <row r="171" spans="2:18" x14ac:dyDescent="0.3">
      <c r="B171" s="52" t="s">
        <v>665</v>
      </c>
      <c r="C171" s="52" t="s">
        <v>38</v>
      </c>
      <c r="P171" s="24" t="s">
        <v>98</v>
      </c>
      <c r="Q171" s="24"/>
      <c r="R171" s="24"/>
    </row>
    <row r="172" spans="2:18" x14ac:dyDescent="0.3">
      <c r="B172" s="52" t="s">
        <v>666</v>
      </c>
      <c r="C172" s="52" t="s">
        <v>38</v>
      </c>
      <c r="P172" s="24" t="s">
        <v>18</v>
      </c>
      <c r="Q172" s="24" t="s">
        <v>292</v>
      </c>
      <c r="R172" s="24" t="s">
        <v>471</v>
      </c>
    </row>
    <row r="173" spans="2:18" x14ac:dyDescent="0.3">
      <c r="B173" s="52" t="s">
        <v>667</v>
      </c>
      <c r="C173" s="52" t="s">
        <v>38</v>
      </c>
      <c r="P173" s="24" t="s">
        <v>108</v>
      </c>
      <c r="Q173" s="24"/>
      <c r="R173" s="24" t="s">
        <v>476</v>
      </c>
    </row>
    <row r="174" spans="2:18" x14ac:dyDescent="0.3">
      <c r="B174" s="52" t="s">
        <v>668</v>
      </c>
      <c r="C174" s="52">
        <v>0.63608049529999999</v>
      </c>
      <c r="P174" s="24" t="s">
        <v>117</v>
      </c>
      <c r="Q174" s="24"/>
      <c r="R174" s="24" t="s">
        <v>476</v>
      </c>
    </row>
    <row r="175" spans="2:18" x14ac:dyDescent="0.3">
      <c r="B175" s="52" t="s">
        <v>669</v>
      </c>
      <c r="C175" s="52" t="s">
        <v>38</v>
      </c>
      <c r="P175" s="24" t="s">
        <v>128</v>
      </c>
      <c r="Q175" s="24"/>
      <c r="R175" s="24"/>
    </row>
    <row r="176" spans="2:18" x14ac:dyDescent="0.3">
      <c r="B176" s="52" t="s">
        <v>184</v>
      </c>
      <c r="C176" s="52" t="s">
        <v>38</v>
      </c>
      <c r="P176" s="24" t="s">
        <v>140</v>
      </c>
      <c r="Q176" s="24"/>
      <c r="R176" s="24"/>
    </row>
    <row r="177" spans="2:18" x14ac:dyDescent="0.3">
      <c r="B177" s="52" t="s">
        <v>509</v>
      </c>
      <c r="C177" s="52">
        <v>0</v>
      </c>
      <c r="P177" s="24" t="s">
        <v>148</v>
      </c>
      <c r="Q177" s="24"/>
      <c r="R177" s="24"/>
    </row>
    <row r="178" spans="2:18" x14ac:dyDescent="0.3">
      <c r="B178" s="52" t="s">
        <v>508</v>
      </c>
      <c r="C178" s="52"/>
      <c r="P178" s="24" t="s">
        <v>155</v>
      </c>
      <c r="Q178" s="24"/>
      <c r="R178" s="24"/>
    </row>
    <row r="179" spans="2:18" x14ac:dyDescent="0.3">
      <c r="B179" s="52" t="s">
        <v>670</v>
      </c>
      <c r="C179" s="52">
        <v>2</v>
      </c>
      <c r="P179" s="24" t="s">
        <v>163</v>
      </c>
      <c r="Q179" s="24"/>
      <c r="R179" s="24"/>
    </row>
    <row r="180" spans="2:18" x14ac:dyDescent="0.3">
      <c r="B180" s="52" t="s">
        <v>498</v>
      </c>
      <c r="C180" s="52" t="s">
        <v>671</v>
      </c>
    </row>
    <row r="181" spans="2:18" x14ac:dyDescent="0.3">
      <c r="B181" s="52" t="s">
        <v>500</v>
      </c>
      <c r="C181" s="52">
        <v>0</v>
      </c>
    </row>
    <row r="182" spans="2:18" x14ac:dyDescent="0.3">
      <c r="B182" s="52" t="s">
        <v>526</v>
      </c>
      <c r="C182" s="52" t="s">
        <v>672</v>
      </c>
    </row>
    <row r="183" spans="2:18" x14ac:dyDescent="0.3">
      <c r="B183" s="52" t="s">
        <v>510</v>
      </c>
      <c r="C183" s="52">
        <v>100</v>
      </c>
    </row>
    <row r="184" spans="2:18" x14ac:dyDescent="0.3">
      <c r="B184" s="52" t="s">
        <v>502</v>
      </c>
      <c r="C184" s="52">
        <v>1</v>
      </c>
    </row>
    <row r="185" spans="2:18" x14ac:dyDescent="0.3">
      <c r="B185" s="52" t="s">
        <v>477</v>
      </c>
      <c r="C185" s="52">
        <v>0</v>
      </c>
    </row>
    <row r="186" spans="2:18" x14ac:dyDescent="0.3">
      <c r="B186" s="52" t="s">
        <v>503</v>
      </c>
      <c r="C186" s="52">
        <v>0.75</v>
      </c>
    </row>
    <row r="187" spans="2:18" x14ac:dyDescent="0.3">
      <c r="B187" s="52" t="s">
        <v>506</v>
      </c>
      <c r="C187" s="52">
        <v>1</v>
      </c>
    </row>
    <row r="188" spans="2:18" x14ac:dyDescent="0.3">
      <c r="B188" s="52" t="s">
        <v>320</v>
      </c>
      <c r="C188" s="52" t="s">
        <v>440</v>
      </c>
    </row>
    <row r="189" spans="2:18" x14ac:dyDescent="0.3">
      <c r="B189" s="52" t="s">
        <v>157</v>
      </c>
      <c r="C189" s="52" t="s">
        <v>38</v>
      </c>
    </row>
    <row r="190" spans="2:18" x14ac:dyDescent="0.3">
      <c r="B190" s="52" t="s">
        <v>475</v>
      </c>
      <c r="C190" s="52" t="s">
        <v>673</v>
      </c>
    </row>
    <row r="191" spans="2:18" x14ac:dyDescent="0.3">
      <c r="B191" s="52" t="s">
        <v>481</v>
      </c>
      <c r="C191" s="52" t="s">
        <v>38</v>
      </c>
    </row>
    <row r="192" spans="2:18" x14ac:dyDescent="0.3">
      <c r="B192" s="52" t="s">
        <v>674</v>
      </c>
      <c r="C192" s="52" t="s">
        <v>38</v>
      </c>
    </row>
    <row r="193" spans="2:3" x14ac:dyDescent="0.3">
      <c r="B193" s="52" t="s">
        <v>675</v>
      </c>
      <c r="C193" s="52" t="s">
        <v>38</v>
      </c>
    </row>
    <row r="194" spans="2:3" x14ac:dyDescent="0.3">
      <c r="B194" s="52" t="s">
        <v>676</v>
      </c>
      <c r="C194" s="52" t="s">
        <v>38</v>
      </c>
    </row>
    <row r="195" spans="2:3" x14ac:dyDescent="0.3">
      <c r="B195" s="52" t="s">
        <v>677</v>
      </c>
      <c r="C195" s="52" t="s">
        <v>38</v>
      </c>
    </row>
    <row r="196" spans="2:3" x14ac:dyDescent="0.3">
      <c r="B196" s="52" t="s">
        <v>486</v>
      </c>
      <c r="C196" s="52" t="s">
        <v>678</v>
      </c>
    </row>
    <row r="197" spans="2:3" x14ac:dyDescent="0.3">
      <c r="B197" s="52" t="s">
        <v>490</v>
      </c>
      <c r="C197" s="52" t="s">
        <v>534</v>
      </c>
    </row>
    <row r="198" spans="2:3" x14ac:dyDescent="0.3">
      <c r="B198" s="52" t="s">
        <v>494</v>
      </c>
      <c r="C198" s="52">
        <v>62914</v>
      </c>
    </row>
    <row r="199" spans="2:3" x14ac:dyDescent="0.3">
      <c r="B199" s="52" t="s">
        <v>505</v>
      </c>
      <c r="C199" s="52">
        <v>1320</v>
      </c>
    </row>
    <row r="200" spans="2:3" x14ac:dyDescent="0.3">
      <c r="B200" s="52" t="s">
        <v>499</v>
      </c>
      <c r="C200" s="52" t="s">
        <v>538</v>
      </c>
    </row>
    <row r="201" spans="2:3" x14ac:dyDescent="0.3">
      <c r="B201" s="52" t="s">
        <v>491</v>
      </c>
      <c r="C201" s="52">
        <v>0.33914760710000003</v>
      </c>
    </row>
    <row r="202" spans="2:3" x14ac:dyDescent="0.3">
      <c r="B202" s="52" t="s">
        <v>679</v>
      </c>
      <c r="C202" s="52" t="s">
        <v>38</v>
      </c>
    </row>
    <row r="203" spans="2:3" x14ac:dyDescent="0.3">
      <c r="B203" s="52" t="s">
        <v>680</v>
      </c>
      <c r="C203" s="52" t="s">
        <v>411</v>
      </c>
    </row>
  </sheetData>
  <mergeCells count="10">
    <mergeCell ref="Y6:AA6"/>
    <mergeCell ref="AB6:AD6"/>
    <mergeCell ref="P26:R26"/>
    <mergeCell ref="P45:R45"/>
    <mergeCell ref="D6:F6"/>
    <mergeCell ref="J6:L6"/>
    <mergeCell ref="M6:O6"/>
    <mergeCell ref="P6:R6"/>
    <mergeCell ref="S6:U6"/>
    <mergeCell ref="V6:X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618B95-B15C-4A9F-842D-E95987137820}">
  <ds:schemaRefs>
    <ds:schemaRef ds:uri="http://schemas.openxmlformats.org/package/2006/metadata/core-properties"/>
    <ds:schemaRef ds:uri="http://www.w3.org/XML/1998/namespace"/>
    <ds:schemaRef ds:uri="f16b3a5c-980b-46e3-b815-254754dadcaf"/>
    <ds:schemaRef ds:uri="http://purl.org/dc/elements/1.1/"/>
    <ds:schemaRef ds:uri="33059d93-2309-41ed-9b34-ca808a9b9e01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1E75069-C956-4073-BE69-61533C6F3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59d93-2309-41ed-9b34-ca808a9b9e01"/>
    <ds:schemaRef ds:uri="f16b3a5c-980b-46e3-b815-254754dad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829046-11A2-4E99-AB8C-22FADC058A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 ACO Enrollment</vt:lpstr>
      <vt:lpstr>CinqACO Reach Enrollment</vt:lpstr>
      <vt:lpstr>Cinq MSSP Enrollment</vt:lpstr>
    </vt:vector>
  </TitlesOfParts>
  <Manager/>
  <Company>CinqCare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Karthik Satish</dc:creator>
  <cp:keywords/>
  <dc:description/>
  <cp:lastModifiedBy>Raveena Kumaravel</cp:lastModifiedBy>
  <cp:revision/>
  <dcterms:created xsi:type="dcterms:W3CDTF">2026-07-20T17:18:32Z</dcterms:created>
  <dcterms:modified xsi:type="dcterms:W3CDTF">2026-07-28T16:10:04Z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