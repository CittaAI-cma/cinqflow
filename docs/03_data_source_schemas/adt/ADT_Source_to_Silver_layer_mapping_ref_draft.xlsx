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2-Design/DataModel/ADT/"/>
    </mc:Choice>
  </mc:AlternateContent>
  <xr:revisionPtr revIDLastSave="1" documentId="8_{2F20F375-4954-4207-90ED-225578B83DD7}" xr6:coauthVersionLast="47" xr6:coauthVersionMax="47" xr10:uidLastSave="{E745C136-2F3E-4D2E-9EEC-1AE89F2A1700}"/>
  <bookViews>
    <workbookView xWindow="-110" yWindow="-110" windowWidth="19420" windowHeight="11500" xr2:uid="{6AD2359D-FDAA-48FF-938B-1A4B742F6850}"/>
  </bookViews>
  <sheets>
    <sheet name="Sheet2" sheetId="2" r:id="rId1"/>
  </sheets>
  <definedNames>
    <definedName name="_xlnm._FilterDatabase" localSheetId="0" hidden="1">Sheet2!$A$3:$M$133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</calcChain>
</file>

<file path=xl/sharedStrings.xml><?xml version="1.0" encoding="utf-8"?>
<sst xmlns="http://schemas.openxmlformats.org/spreadsheetml/2006/main" count="1555" uniqueCount="498">
  <si>
    <t xml:space="preserve">Source SQL Server Tables → Silver Raw → Silver ODS  |  Complete Field Mapping  </t>
  </si>
  <si>
    <t>Change types: DIRECT=no change | CAST=type fix | PARSE=from JSON | NORMALIZE=standardize | GAP=new capture | SYS=system generated | DERIVED=ETL calculates</t>
  </si>
  <si>
    <t>Silver ODS (Target)</t>
  </si>
  <si>
    <t>Silver Raw (Intermediate)</t>
  </si>
  <si>
    <t>Source (SQL Server Master Tables)</t>
  </si>
  <si>
    <t>DailyCensus</t>
  </si>
  <si>
    <t>#</t>
  </si>
  <si>
    <t>ODS Table</t>
  </si>
  <si>
    <t>ODS Column</t>
  </si>
  <si>
    <t>ODS Data Type</t>
  </si>
  <si>
    <t>HL7 Segment</t>
  </si>
  <si>
    <t>Silver Raw Column</t>
  </si>
  <si>
    <t>SR Data Type</t>
  </si>
  <si>
    <t>Source Table (SQL Server)</t>
  </si>
  <si>
    <t>Source Column</t>
  </si>
  <si>
    <t>Source Data Type</t>
  </si>
  <si>
    <t>DailyCensus Column</t>
  </si>
  <si>
    <t>Change Type</t>
  </si>
  <si>
    <t>Transformation / Mapping Rule</t>
  </si>
  <si>
    <t>member(From enrollment)</t>
  </si>
  <si>
    <t>member_id</t>
  </si>
  <si>
    <t>int</t>
  </si>
  <si>
    <t>—</t>
  </si>
  <si>
    <t>System</t>
  </si>
  <si>
    <t>Not in DailyCensus</t>
  </si>
  <si>
    <t>SYS</t>
  </si>
  <si>
    <t>monotonically_increasing_id() — Databricks generates surrogate PK automatically</t>
  </si>
  <si>
    <t>cinq_id</t>
  </si>
  <si>
    <t>CINQ</t>
  </si>
  <si>
    <t>SourceSystemId</t>
  </si>
  <si>
    <t>varchar</t>
  </si>
  <si>
    <t>All source tables</t>
  </si>
  <si>
    <t>cinqID / CinqID / CinqID / member_id</t>
  </si>
  <si>
    <t>varchar / int</t>
  </si>
  <si>
    <t xml:space="preserve">DailyCensus: OurID (int) </t>
  </si>
  <si>
    <t>CAST</t>
  </si>
  <si>
    <t>HL7: json_extract(raw_payload,'$.cinqID'). Optum: CinqID col. Fidelis: member_id col. Cast all to INT. Field name varies by source.</t>
  </si>
  <si>
    <t>source_system_id</t>
  </si>
  <si>
    <t>PID-3</t>
  </si>
  <si>
    <t>Patient_ID / patient_id / member_id</t>
  </si>
  <si>
    <t xml:space="preserve">DailyCensus: PatientIdentifier </t>
  </si>
  <si>
    <t>DIRECT</t>
  </si>
  <si>
    <t>Source system internal patient/MRN identifier alongside cinq_id</t>
  </si>
  <si>
    <t>last_name</t>
  </si>
  <si>
    <t>PID-5</t>
  </si>
  <si>
    <t>LastName</t>
  </si>
  <si>
    <t>HL7/Optum/Fidelis</t>
  </si>
  <si>
    <t>Last_Name / MemberLastName / member_name</t>
  </si>
  <si>
    <t xml:space="preserve">DailyCensus: MemberLastName </t>
  </si>
  <si>
    <t>HL7: json_extract(raw_payload,'$.Last_Name'). Optum: MemberLastName col. Fidelis: SPLIT(member_name,',')[0].TRIM()</t>
  </si>
  <si>
    <t>first_name</t>
  </si>
  <si>
    <t>FirstName</t>
  </si>
  <si>
    <t>First_Name / MemberFirstName / member_name</t>
  </si>
  <si>
    <t xml:space="preserve">DailyCensus: MemberFirstName </t>
  </si>
  <si>
    <t>HL7: json_extract(raw_payload,'$.First_Name'). Optum: MemberFirstName. Fidelis: SPLIT(member_name,',')[1].TRIM()</t>
  </si>
  <si>
    <t>middle_name</t>
  </si>
  <si>
    <t>MiddleName</t>
  </si>
  <si>
    <t>Optum_UM_Master</t>
  </si>
  <si>
    <t>MemberMiddleName</t>
  </si>
  <si>
    <t>Not in DailyCensus — GAP</t>
  </si>
  <si>
    <t>GAP</t>
  </si>
  <si>
    <t>Optum: MemberMiddleName col. HL7: json_extract(raw_payload,'$.MiddleName'). Fidelis: not provided → NULL</t>
  </si>
  <si>
    <t>date_of_birth</t>
  </si>
  <si>
    <t>datetime</t>
  </si>
  <si>
    <t>PID-7</t>
  </si>
  <si>
    <t>DateOfBirth</t>
  </si>
  <si>
    <t>DOB / MemberDOB / date_of_birth</t>
  </si>
  <si>
    <t>DailyCensus: MemberDateOfBirth (varchar(-1)) ⚠️</t>
  </si>
  <si>
    <t>CAST all sources to DATE. HL7: DOB field in raw_payload. Optum: MemberDOB col. Fidelis: date_of_birth col. DailyCensus stored as varchar(-1) — type fix.</t>
  </si>
  <si>
    <t>sex</t>
  </si>
  <si>
    <t>PID-8</t>
  </si>
  <si>
    <t>Sex</t>
  </si>
  <si>
    <t>Gender / MemberGender</t>
  </si>
  <si>
    <t>DailyCensus: MemberSex (varchar(-1)) ⚠️</t>
  </si>
  <si>
    <t>NORMALIZE</t>
  </si>
  <si>
    <t>Standardize to M/F/O/U. HL7: Gender field. Optum: MemberGender (Male→M, Female→F). DailyCensus had inconsistent values.</t>
  </si>
  <si>
    <t>address_line_1</t>
  </si>
  <si>
    <t>PID-11</t>
  </si>
  <si>
    <t>AddressLine1</t>
  </si>
  <si>
    <t>HL7 source tables</t>
  </si>
  <si>
    <t>Address_1</t>
  </si>
  <si>
    <t xml:space="preserve">DailyCensus: MemberAddress1 </t>
  </si>
  <si>
    <t>HL7: json_extract(raw_payload,'$.Address_1'). Optum/Fidelis: not provided → NULL</t>
  </si>
  <si>
    <t>city</t>
  </si>
  <si>
    <t>City</t>
  </si>
  <si>
    <t xml:space="preserve">DailyCensus: MemberCity </t>
  </si>
  <si>
    <t>HL7 sources only</t>
  </si>
  <si>
    <t>state</t>
  </si>
  <si>
    <t>State</t>
  </si>
  <si>
    <t xml:space="preserve">DailyCensus: MemberState </t>
  </si>
  <si>
    <t>Standardize to 2-letter code</t>
  </si>
  <si>
    <t>zip_code</t>
  </si>
  <si>
    <t>ZipCode</t>
  </si>
  <si>
    <t>Zip</t>
  </si>
  <si>
    <t xml:space="preserve">DailyCensus: MemberZipCode </t>
  </si>
  <si>
    <t>Strip trailing hyphen: REGEXP_REPLACE(Zip,'-.*$','')</t>
  </si>
  <si>
    <t>member_hicn</t>
  </si>
  <si>
    <t>PID-4</t>
  </si>
  <si>
    <t>MemberHICN</t>
  </si>
  <si>
    <t>Optum: MemberHICN col direct carry. All other sources: NULL</t>
  </si>
  <si>
    <t>medicaid_id</t>
  </si>
  <si>
    <t>IN1-35</t>
  </si>
  <si>
    <t>MedicaidNumber</t>
  </si>
  <si>
    <t xml:space="preserve">DailyCensus: MemberMedicaidNumber </t>
  </si>
  <si>
    <t>death_indicator</t>
  </si>
  <si>
    <t>PID-30</t>
  </si>
  <si>
    <t>DeathIndicator</t>
  </si>
  <si>
    <t>Death_Indicator</t>
  </si>
  <si>
    <t xml:space="preserve">DailyCensus: DeathIndicatorFlag </t>
  </si>
  <si>
    <t>Enforce Y/N/NULL only. DailyCensus had free-text garbage values.</t>
  </si>
  <si>
    <t>medent_id_gbu</t>
  </si>
  <si>
    <t>MedentIDGBU</t>
  </si>
  <si>
    <t xml:space="preserve">DailyCensus: MedentIDGBU </t>
  </si>
  <si>
    <t>CINQ internal Medent EHR cross-reference. No ADT source provides this.</t>
  </si>
  <si>
    <t>record_created_date</t>
  </si>
  <si>
    <t>DailyCensus: CreateDate (varchar(-1)) ⚠️</t>
  </si>
  <si>
    <t>current_timestamp() on first insert into Silver ODS Delta table</t>
  </si>
  <si>
    <t>encounter</t>
  </si>
  <si>
    <t>encounter_id</t>
  </si>
  <si>
    <t>monotonically_increasing_id() — surrogate PK</t>
  </si>
  <si>
    <t>source_encounter_id</t>
  </si>
  <si>
    <t>PV1-19</t>
  </si>
  <si>
    <t>VisitNumber</t>
  </si>
  <si>
    <t>All HL7 source tables</t>
  </si>
  <si>
    <t>Visit_Number</t>
  </si>
  <si>
    <t>DailyCensus: UniqueID  (partial)</t>
  </si>
  <si>
    <t>HL7: json_extract(raw_payload,'$.Visit_Number'). CRITICAL GAP — existed in all 7 HL7 sources but never properly mapped to DailyCensus. ParticleHealth uses Transition_ID.</t>
  </si>
  <si>
    <t>PID</t>
  </si>
  <si>
    <t>cinqID → member_id FK</t>
  </si>
  <si>
    <t>Not in DailyCensus — relationship not formalized</t>
  </si>
  <si>
    <t>FK resolved via cinq_id lookup on member table</t>
  </si>
  <si>
    <t>attending_provider_id</t>
  </si>
  <si>
    <t>PV1-7</t>
  </si>
  <si>
    <t>AttendingNPI</t>
  </si>
  <si>
    <t>attend_NPI</t>
  </si>
  <si>
    <t>FK to provider.provider_id — resolved via NPI lookup</t>
  </si>
  <si>
    <t>admitting_provider_id</t>
  </si>
  <si>
    <t>PV1-17</t>
  </si>
  <si>
    <t>AdmittingNPI</t>
  </si>
  <si>
    <t>admit_NPI</t>
  </si>
  <si>
    <t>facility_id</t>
  </si>
  <si>
    <t>PV1-3</t>
  </si>
  <si>
    <t>FacilityName</t>
  </si>
  <si>
    <t>Facility_Name / FacilityName / facility_name</t>
  </si>
  <si>
    <t>FK to facility.facility_id — resolved via facility_name lookup</t>
  </si>
  <si>
    <t>coverage_id</t>
  </si>
  <si>
    <t>IN1</t>
  </si>
  <si>
    <t>InsuranceID</t>
  </si>
  <si>
    <t>insurance ID fields</t>
  </si>
  <si>
    <t>FK to coverage.coverage_id</t>
  </si>
  <si>
    <t>event_type</t>
  </si>
  <si>
    <t>EVN-1</t>
  </si>
  <si>
    <t>EventType</t>
  </si>
  <si>
    <t>Event_Type / confine_status / derived</t>
  </si>
  <si>
    <t xml:space="preserve">DailyCensus: EventType </t>
  </si>
  <si>
    <t>HL7: json_extract(raw_payload,'$.Event_Type'). Fidelis: confine_status col. Optum: derived from ServiceType.</t>
  </si>
  <si>
    <t>event_date</t>
  </si>
  <si>
    <t>MSH-7</t>
  </si>
  <si>
    <t>MessageDate</t>
  </si>
  <si>
    <t>Date / FileDate</t>
  </si>
  <si>
    <t>DailyCensus: EventDate (varchar(-1)) ⚠️</t>
  </si>
  <si>
    <t>Cast to DATETIME. DailyCensus stored as varchar(-1).</t>
  </si>
  <si>
    <t>patient_class</t>
  </si>
  <si>
    <t>PV1-2</t>
  </si>
  <si>
    <t>PatientClass</t>
  </si>
  <si>
    <t>PatientClass / ServiceType</t>
  </si>
  <si>
    <t>DailyCensus: VisitType (varchar(-1)) ⚠️</t>
  </si>
  <si>
    <t>Standardize to E/I/O/R. DailyCensus had free-text.</t>
  </si>
  <si>
    <t>visit_type_desc</t>
  </si>
  <si>
    <t>VisitTypeDesc</t>
  </si>
  <si>
    <t>VisitTypeDesc / ServiceType</t>
  </si>
  <si>
    <t xml:space="preserve">DailyCensus: VisitType </t>
  </si>
  <si>
    <t>Free text kept alongside standardized patient_class</t>
  </si>
  <si>
    <t>admit_type</t>
  </si>
  <si>
    <t>PV1-4</t>
  </si>
  <si>
    <t>AdmitType</t>
  </si>
  <si>
    <t>Garage_ADT_Master / Fidelis</t>
  </si>
  <si>
    <t>admit_type / type_of_care</t>
  </si>
  <si>
    <t xml:space="preserve">DailyCensus: AdmitType </t>
  </si>
  <si>
    <t>Garage and Fidelis only. Other sources: NULL</t>
  </si>
  <si>
    <t>admit_source</t>
  </si>
  <si>
    <t>PV1-14</t>
  </si>
  <si>
    <t>AdmitSource</t>
  </si>
  <si>
    <t>Garage_ADT_Master</t>
  </si>
  <si>
    <t>GAP: Garage provides admit_source but was never mapped to DailyCensus. Garage only.</t>
  </si>
  <si>
    <t>admission_datetime</t>
  </si>
  <si>
    <t>PV1-44</t>
  </si>
  <si>
    <t>AdmissionDate</t>
  </si>
  <si>
    <t>Admit_Date / AdmissionDate / actual_admit_date</t>
  </si>
  <si>
    <t>varchar / datetime</t>
  </si>
  <si>
    <t>DailyCensus: AdmissionDate (varchar(-1)) ⚠️</t>
  </si>
  <si>
    <t>CONFIRMED via source query Apr 2026: 7 HL7 sources → DATETIME. Optum + Fidelis → DATE only (00:00:00 time). Cast to DATETIME. Field name varies by source.</t>
  </si>
  <si>
    <t>discharge_datetime</t>
  </si>
  <si>
    <t>PV1-45</t>
  </si>
  <si>
    <t>DischargeDate</t>
  </si>
  <si>
    <t>Discharge_Date / DischargeDate</t>
  </si>
  <si>
    <t>DailyCensus: DischargeDate (varchar(-1)) ⚠️</t>
  </si>
  <si>
    <t>CONFIRMED via source query: 7 HL7 → DATETIME. Optum → DATE only. Fidelis: not provided → NULL. Cast to DATETIME.</t>
  </si>
  <si>
    <t>discharge_disposition_code</t>
  </si>
  <si>
    <t>PV1-36</t>
  </si>
  <si>
    <t>DischargeDispositionCode</t>
  </si>
  <si>
    <t>HL7 source tables / Optum</t>
  </si>
  <si>
    <t>Discharge_Disposition / DischargeStatusCode</t>
  </si>
  <si>
    <t xml:space="preserve">DailyCensus: DischargeDispositionCode </t>
  </si>
  <si>
    <t>NOTE: BronxRhio source has typo — use '$.Discharge_Diposition' (missing s) for BronxRhio only</t>
  </si>
  <si>
    <t>discharge_disposition_desc</t>
  </si>
  <si>
    <t>DischargeDispositionDesc</t>
  </si>
  <si>
    <t>Disch_Disp_Desc</t>
  </si>
  <si>
    <t>GAP: existed in HL7 source tables all along but never mapped to DailyCensus. HL7 sources only.</t>
  </si>
  <si>
    <t>admission_reason</t>
  </si>
  <si>
    <t>PV2-3</t>
  </si>
  <si>
    <t>AdmissionReason</t>
  </si>
  <si>
    <t>HL7 source tables / Fidelis</t>
  </si>
  <si>
    <t>Reason_For_Visit / description</t>
  </si>
  <si>
    <t xml:space="preserve">DailyCensus: AdmissionReason </t>
  </si>
  <si>
    <t>HL7 and Fidelis only</t>
  </si>
  <si>
    <t>chief_complaint</t>
  </si>
  <si>
    <t>ChiefComplaint</t>
  </si>
  <si>
    <t>Chief_Complaint</t>
  </si>
  <si>
    <t xml:space="preserve">DailyCensus: ChiefComplaint </t>
  </si>
  <si>
    <t>HealtheLINK, ParticleHealth, PCC IL, PCC Enterprise only</t>
  </si>
  <si>
    <t>primary_diagnosis_code</t>
  </si>
  <si>
    <t>DG1-3</t>
  </si>
  <si>
    <t>DiagnosisList</t>
  </si>
  <si>
    <t>DiagList / PrimaryDiagnosisCode</t>
  </si>
  <si>
    <t>GAP: DailyCensus had DiagnosisList (pipe-delimited) but never extracted primary code separately. Extract first code from DiagList.</t>
  </si>
  <si>
    <t>diagnosis_list</t>
  </si>
  <si>
    <t>DG1</t>
  </si>
  <si>
    <t xml:space="preserve">DailyCensus: DiagnosisList </t>
  </si>
  <si>
    <t>Full pipe-delimited ICD-10 list preserved as-is</t>
  </si>
  <si>
    <t>head_in_bed</t>
  </si>
  <si>
    <t xml:space="preserve">DailyCensus: HeadInBed </t>
  </si>
  <si>
    <t>DERIVED</t>
  </si>
  <si>
    <t>ETL derives: 1 = admission_datetime NOT NULL AND discharge_datetime IS NULL. Confirmed 2,819 current census records.</t>
  </si>
  <si>
    <t>auth_id</t>
  </si>
  <si>
    <t>AuthID</t>
  </si>
  <si>
    <t>Optum_UM_Master / Fidelis</t>
  </si>
  <si>
    <t>AuthorizationReferenceNumber / auth_id</t>
  </si>
  <si>
    <t>Optum and Fidelis only. HL7: NULL</t>
  </si>
  <si>
    <t>auth_status</t>
  </si>
  <si>
    <t>AuthStatus</t>
  </si>
  <si>
    <t>AuthorizationStatus</t>
  </si>
  <si>
    <t>Optum only</t>
  </si>
  <si>
    <t>auth_los</t>
  </si>
  <si>
    <t>AuthLOS</t>
  </si>
  <si>
    <t>AuthorizedLengthofStay / auth_los</t>
  </si>
  <si>
    <t>Optum and Fidelis only</t>
  </si>
  <si>
    <t>risk_cat</t>
  </si>
  <si>
    <t>RiskStratification</t>
  </si>
  <si>
    <t>Garage_ADT_Master / Optum_UM_Master</t>
  </si>
  <si>
    <t>RiskStratification / HCELEVEL</t>
  </si>
  <si>
    <t xml:space="preserve">DailyCensus: RiskCat </t>
  </si>
  <si>
    <t>Garage: RiskStratification direct. Optum: map HCELEVEL to High/Moderate/Low</t>
  </si>
  <si>
    <t>toc_completed</t>
  </si>
  <si>
    <t>TOCCompleted</t>
  </si>
  <si>
    <t xml:space="preserve">DailyCensus: Transition_of_Care </t>
  </si>
  <si>
    <t>Garage only</t>
  </si>
  <si>
    <t>transition_id</t>
  </si>
  <si>
    <t>TransitionID</t>
  </si>
  <si>
    <t>ParticleHealth_Master</t>
  </si>
  <si>
    <t>Transition_ID</t>
  </si>
  <si>
    <t xml:space="preserve">DailyCensus: UniqueID </t>
  </si>
  <si>
    <t>ParticleHealth only</t>
  </si>
  <si>
    <t>current_file_flag</t>
  </si>
  <si>
    <t xml:space="preserve">DailyCensus: CurrentFileFlag </t>
  </si>
  <si>
    <t>Set by ETL during Delta MERGE INTO</t>
  </si>
  <si>
    <t>submitted_by_id</t>
  </si>
  <si>
    <t>CINQ application</t>
  </si>
  <si>
    <t>SubmittedByID</t>
  </si>
  <si>
    <t xml:space="preserve">DailyCensus: SubmittedByID </t>
  </si>
  <si>
    <t>Care team entry via CINQ app</t>
  </si>
  <si>
    <t>submitted_date</t>
  </si>
  <si>
    <t>SubmittedDate</t>
  </si>
  <si>
    <t xml:space="preserve">DailyCensus: SubmittedDate </t>
  </si>
  <si>
    <t>provider</t>
  </si>
  <si>
    <t>provider_id</t>
  </si>
  <si>
    <t>npi</t>
  </si>
  <si>
    <t>AttendingNPI / PCPNPI</t>
  </si>
  <si>
    <t>attend_NPI / admit_NPI / PCPNPI / pcp_npi</t>
  </si>
  <si>
    <t xml:space="preserve">DailyCensus: AttendingPhyNPI / AdmittingPhyNPI </t>
  </si>
  <si>
    <t>Deduplicated by NPI + source_system. Each unique NPI = one row. NULLABLE — some sources may not provide NPI.</t>
  </si>
  <si>
    <t>AttendingLastName</t>
  </si>
  <si>
    <t>attend_Last_Name / admit_Last_Name</t>
  </si>
  <si>
    <t xml:space="preserve">DailyCensus: AttendingPhyLastName </t>
  </si>
  <si>
    <t>AttendingFirstName</t>
  </si>
  <si>
    <t>attend_First_Name / admit_First_Name</t>
  </si>
  <si>
    <t xml:space="preserve">DailyCensus: AttendingPhyFirstName </t>
  </si>
  <si>
    <t>full_name</t>
  </si>
  <si>
    <t>PCPName</t>
  </si>
  <si>
    <t>PCPName / PCPGroupName / member_pcp</t>
  </si>
  <si>
    <t xml:space="preserve">DailyCensus: ProviderName </t>
  </si>
  <si>
    <t>PCP full name from all sources</t>
  </si>
  <si>
    <t>provider_type</t>
  </si>
  <si>
    <t>Not in DailyCensus — Derived</t>
  </si>
  <si>
    <t>ETL sets: 'Attending' / 'Admitting' / 'PCP' based on which source field the NPI came from</t>
  </si>
  <si>
    <t>pcp_group_name</t>
  </si>
  <si>
    <t>PCPGroupName</t>
  </si>
  <si>
    <t>PCPGroupName / practice_name</t>
  </si>
  <si>
    <t xml:space="preserve">DailyCensus: Practice </t>
  </si>
  <si>
    <t>In DailyCensus was Practice</t>
  </si>
  <si>
    <t>pcp_group_tin</t>
  </si>
  <si>
    <t>PCPGroupTIN</t>
  </si>
  <si>
    <t>Existed in sources but never mapped to DailyCensus</t>
  </si>
  <si>
    <t>pcp_phone</t>
  </si>
  <si>
    <t>PCPPhone</t>
  </si>
  <si>
    <t>PCPPhone / pcp_phone</t>
  </si>
  <si>
    <t>ipa_name</t>
  </si>
  <si>
    <t>IPAName</t>
  </si>
  <si>
    <t xml:space="preserve">DailyCensus: IPA </t>
  </si>
  <si>
    <t>region</t>
  </si>
  <si>
    <t>Region</t>
  </si>
  <si>
    <t xml:space="preserve">DailyCensus: Region </t>
  </si>
  <si>
    <t>facility</t>
  </si>
  <si>
    <t>facility_npi</t>
  </si>
  <si>
    <t>MSH-4</t>
  </si>
  <si>
    <t>FacilityNPI</t>
  </si>
  <si>
    <t>facility_name_npi (combined field)</t>
  </si>
  <si>
    <t>GAP: Garage provides facility NPI embedded in combined field 'Facility Name (NPI)'. ETL: REGEXP_EXTRACT(facility_name_npi,'\(([0-9]{10})\)')</t>
  </si>
  <si>
    <t>facility_name</t>
  </si>
  <si>
    <t xml:space="preserve">DailyCensus: Facility </t>
  </si>
  <si>
    <t>ETL standardizes inconsistent naming across sources (KHS vs KHS-KH OCH). Raw name preserved in facility_name_raw.</t>
  </si>
  <si>
    <t>facility_name_raw</t>
  </si>
  <si>
    <t>Raw facility name preserved exactly for audit/debug</t>
  </si>
  <si>
    <t>facility_id_source</t>
  </si>
  <si>
    <t>FacilityID</t>
  </si>
  <si>
    <t>Optum internal facility ID. Optum only.</t>
  </si>
  <si>
    <t>facility_county</t>
  </si>
  <si>
    <t>FacilityCounty</t>
  </si>
  <si>
    <t>Fidelis_UM_Master</t>
  </si>
  <si>
    <t>Fidelis only</t>
  </si>
  <si>
    <t>coverage</t>
  </si>
  <si>
    <t>Not in DailyCensus — not formalized</t>
  </si>
  <si>
    <t>FK to member.member_id</t>
  </si>
  <si>
    <t>insurance_id_primary</t>
  </si>
  <si>
    <t>IN1-3</t>
  </si>
  <si>
    <t>InsuranceID / MemberID / member_id</t>
  </si>
  <si>
    <t xml:space="preserve">DailyCensus: InsuranceIDPrimary </t>
  </si>
  <si>
    <t>Field name varies by source</t>
  </si>
  <si>
    <t>insurance_name_primary</t>
  </si>
  <si>
    <t>IN1-4</t>
  </si>
  <si>
    <t>InsuranceName</t>
  </si>
  <si>
    <t>Payer / Payor / PayrEntprs</t>
  </si>
  <si>
    <t xml:space="preserve">DailyCensus: InsuranceNamePrimary </t>
  </si>
  <si>
    <t>HL7 field name varies: payer vs Payor</t>
  </si>
  <si>
    <t>member_product</t>
  </si>
  <si>
    <t>IN1-15</t>
  </si>
  <si>
    <t>MemberProduct</t>
  </si>
  <si>
    <t>MemberProduct / LOB / member_line_of_business</t>
  </si>
  <si>
    <t xml:space="preserve">DailyCensus: MemberProduct </t>
  </si>
  <si>
    <t>line_of_business</t>
  </si>
  <si>
    <t>LOB</t>
  </si>
  <si>
    <t>LoB / LOB / member_line_of_business</t>
  </si>
  <si>
    <t xml:space="preserve">DailyCensus: MemberProduct (derived) </t>
  </si>
  <si>
    <t>ETL standardizes: HARP/TANF/Foster Care → Medicaid, ACO REACH/Medicare Advantage → Medicare</t>
  </si>
  <si>
    <t>plan_id</t>
  </si>
  <si>
    <t>IN1-2</t>
  </si>
  <si>
    <t>PlanID</t>
  </si>
  <si>
    <t>medicaid_number</t>
  </si>
  <si>
    <t>Optum only. Medicare HICN.</t>
  </si>
  <si>
    <t>payor_enterprise</t>
  </si>
  <si>
    <t>PayrEntprs</t>
  </si>
  <si>
    <t>Optum payer enterprise name</t>
  </si>
  <si>
    <t>market_name</t>
  </si>
  <si>
    <t>MarketName</t>
  </si>
  <si>
    <t>vbp_id</t>
  </si>
  <si>
    <t>VbpID</t>
  </si>
  <si>
    <t>sub_group</t>
  </si>
  <si>
    <t>SubGroup</t>
  </si>
  <si>
    <t>oah_dual</t>
  </si>
  <si>
    <t>OahDual</t>
  </si>
  <si>
    <t>Dual eligibility. Optum only.</t>
  </si>
  <si>
    <t>effective_start_date</t>
  </si>
  <si>
    <t>SCD2: effective date when this coverage version became active</t>
  </si>
  <si>
    <t>effective_end_date</t>
  </si>
  <si>
    <t>SCD2: when superseded. NULL = current active record</t>
  </si>
  <si>
    <t>is_current_flag</t>
  </si>
  <si>
    <t>bool</t>
  </si>
  <si>
    <t>SCD2 current flag. Set by ETL during Delta MERGE INTO</t>
  </si>
  <si>
    <t>adt_event_log</t>
  </si>
  <si>
    <t>event_log_id</t>
  </si>
  <si>
    <t>monotonically_increasing_id() — append-only, never updated</t>
  </si>
  <si>
    <t>EVN</t>
  </si>
  <si>
    <t>FK to encounter.encounter_id — nullable for unmatched events</t>
  </si>
  <si>
    <t>FK to member.member_id — nullable</t>
  </si>
  <si>
    <t>NOT NULL</t>
  </si>
  <si>
    <t>event_datetime</t>
  </si>
  <si>
    <t>Cast to DATETIME. NOT NULL.</t>
  </si>
  <si>
    <t>record_source</t>
  </si>
  <si>
    <t>MSH-3</t>
  </si>
  <si>
    <t>SourceSystem</t>
  </si>
  <si>
    <t>source_system</t>
  </si>
  <si>
    <t xml:space="preserve">DailyCensus: RecordSource </t>
  </si>
  <si>
    <t>NOT NULL. Carried from Bronze audit col.</t>
  </si>
  <si>
    <t>source_member_id</t>
  </si>
  <si>
    <t>cinqID / member_id</t>
  </si>
  <si>
    <t>Raw member ID before resolution</t>
  </si>
  <si>
    <t>source_visit_number</t>
  </si>
  <si>
    <t>Not in DailyCensus — CRITICAL GAP</t>
  </si>
  <si>
    <t>CRITICAL GAP: existed in all 7 HL7 source tables but NEVER mapped to DailyCensus. HL7 sources only.</t>
  </si>
  <si>
    <t>source_message_id</t>
  </si>
  <si>
    <t>MSH-10</t>
  </si>
  <si>
    <t>SourceMessageId</t>
  </si>
  <si>
    <t>MSH message ID / FileName</t>
  </si>
  <si>
    <t>Unique source message identifier</t>
  </si>
  <si>
    <t>Raw facility name for event audit trail</t>
  </si>
  <si>
    <t>Cast to DATETIME</t>
  </si>
  <si>
    <t>confine_status</t>
  </si>
  <si>
    <t>ConfinementStatus</t>
  </si>
  <si>
    <t>Fidelis UM only</t>
  </si>
  <si>
    <t>file_name</t>
  </si>
  <si>
    <t>FileName</t>
  </si>
  <si>
    <t>Fidelis_UM_Master / Optum</t>
  </si>
  <si>
    <t>FileName / derived from path</t>
  </si>
  <si>
    <t>Fidelis: FileName col. Optum: derived from _metadata_file_path.</t>
  </si>
  <si>
    <t>is_processed</t>
  </si>
  <si>
    <t>True once event processed into encounter table. ETL sets.</t>
  </si>
  <si>
    <t>encounter_cinq_ext</t>
  </si>
  <si>
    <t>cinq_ext_id</t>
  </si>
  <si>
    <t>FK to encounter.encounter_id — enforces 1:1</t>
  </si>
  <si>
    <t>phn_assigned</t>
  </si>
  <si>
    <t>PHN_Assigned</t>
  </si>
  <si>
    <t>varchar(50)</t>
  </si>
  <si>
    <t xml:space="preserve">DailyCensus: PHN_Assigned </t>
  </si>
  <si>
    <t>pod_assignment</t>
  </si>
  <si>
    <t>POD_Assignment</t>
  </si>
  <si>
    <t>varchar(255)</t>
  </si>
  <si>
    <t xml:space="preserve">DailyCensus: POD_Assignment </t>
  </si>
  <si>
    <t>Care team entry</t>
  </si>
  <si>
    <t>manager</t>
  </si>
  <si>
    <t>Manager</t>
  </si>
  <si>
    <t xml:space="preserve">DailyCensus: Manager </t>
  </si>
  <si>
    <t>business_hours</t>
  </si>
  <si>
    <t>Business_Hours</t>
  </si>
  <si>
    <t>varchar(-1)</t>
  </si>
  <si>
    <t xml:space="preserve">DailyCensus: Business_Hours </t>
  </si>
  <si>
    <t>RiskCat</t>
  </si>
  <si>
    <t>risk_cat_crg</t>
  </si>
  <si>
    <t>RiskCatCRG</t>
  </si>
  <si>
    <t xml:space="preserve">DailyCensus: RiskCatCRG </t>
  </si>
  <si>
    <t>risk_cat_hcc</t>
  </si>
  <si>
    <t>RiskCatHCC</t>
  </si>
  <si>
    <t xml:space="preserve">DailyCensus: RiskCatHCC </t>
  </si>
  <si>
    <t>case_assignment_risk_type</t>
  </si>
  <si>
    <t>CaseAssignment_RiskType</t>
  </si>
  <si>
    <t xml:space="preserve">DailyCensus: CaseAssignment_RiskType </t>
  </si>
  <si>
    <t>discharge_date_expected</t>
  </si>
  <si>
    <t>Discharge_Date_Expected</t>
  </si>
  <si>
    <t>DailyCensus: Discharge_Date_Expected ⚠️</t>
  </si>
  <si>
    <t>Cast from varchar(-1) to DATE</t>
  </si>
  <si>
    <t>discharge_date_expected_entry_id</t>
  </si>
  <si>
    <t>Discharge_Date_Expected_EntryID</t>
  </si>
  <si>
    <t xml:space="preserve">DailyCensus: Discharge_Date_Expected_EntryID </t>
  </si>
  <si>
    <t>discharge_date_expected_last_edit</t>
  </si>
  <si>
    <t>Discharge_Date_Expected_LastEdit</t>
  </si>
  <si>
    <t xml:space="preserve">DailyCensus: Discharge_Date_Expected_LastEdit </t>
  </si>
  <si>
    <t>discharge_date_actual</t>
  </si>
  <si>
    <t>Discharge_Date_Actual</t>
  </si>
  <si>
    <t>DailyCensus: Discharge_Date_Actual ⚠️</t>
  </si>
  <si>
    <t>phn_contact</t>
  </si>
  <si>
    <t>PHN_Contact</t>
  </si>
  <si>
    <t xml:space="preserve">DailyCensus: PHN_Contact </t>
  </si>
  <si>
    <t>phn_contact_date</t>
  </si>
  <si>
    <t>PHN_Contact_Date</t>
  </si>
  <si>
    <t>DailyCensus: PHN_Contact_Date ⚠️</t>
  </si>
  <si>
    <t>md_visit_scheduled</t>
  </si>
  <si>
    <t>MD_Visit_Scheduled</t>
  </si>
  <si>
    <t xml:space="preserve">DailyCensus: MD_Visit_Scheduled </t>
  </si>
  <si>
    <t>md_visit_scheduled_date</t>
  </si>
  <si>
    <t>MD_Visit_Scheduled_Date</t>
  </si>
  <si>
    <t>DailyCensus: MD_Visit_Scheduled_Date ⚠️</t>
  </si>
  <si>
    <t>md_visit_date</t>
  </si>
  <si>
    <t>MD_Visit_Date</t>
  </si>
  <si>
    <t>DailyCensus: MD_Visit_Date ⚠️</t>
  </si>
  <si>
    <t>medication_reconciliation</t>
  </si>
  <si>
    <t>Medication_Reconcilliation</t>
  </si>
  <si>
    <t>DailyCensus: Medication_Reconcilliation ⚠️ typo</t>
  </si>
  <si>
    <t>NOTE: DailyCensus column has typo (double-l). Corrected spelling in Silver ODS.</t>
  </si>
  <si>
    <t>dme_needed</t>
  </si>
  <si>
    <t>DME_Needed</t>
  </si>
  <si>
    <t xml:space="preserve">DailyCensus: DME_Needed </t>
  </si>
  <si>
    <t>sdoh_screened</t>
  </si>
  <si>
    <t>SDOH_Screened</t>
  </si>
  <si>
    <t xml:space="preserve">DailyCensus: SDOH_Screened </t>
  </si>
  <si>
    <t>mortality_risk</t>
  </si>
  <si>
    <t>MORTALITY</t>
  </si>
  <si>
    <t>diabetic_indicator</t>
  </si>
  <si>
    <t>health_home_id</t>
  </si>
  <si>
    <t>DailyCensus: HealthHomeEnrolled (Y/N only) ⚠️</t>
  </si>
  <si>
    <t>DailyCensus only had Y/N flag. Now capturing actual ID from Fidelis.</t>
  </si>
  <si>
    <t>health_home_name</t>
  </si>
  <si>
    <t>pregnancy_flag</t>
  </si>
  <si>
    <t>PregnancyFlag</t>
  </si>
  <si>
    <t xml:space="preserve">DailyCensus: PregnancyFlag </t>
  </si>
  <si>
    <t>Moved from encounter to encounter_cinq_ext</t>
  </si>
  <si>
    <t>transition_of_care</t>
  </si>
  <si>
    <t>DailyCensus / Garage</t>
  </si>
  <si>
    <t>Transition_of_Care / toc_completed</t>
  </si>
  <si>
    <t>Garage ADT source also provides toc_completed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</si>
</sst>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1"/>
      <name val="Aptos Narrow"/>
      <family val="2"/>
      <scheme val="minor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/>
    <xf numFmtId="0" fontId="1" fillId="2" borderId="1" xfId="0" applyFont="1" applyFill="1" applyBorder="1" applyAlignment="1"/>
    <xf numFmtId="0" fontId="5" fillId="3" borderId="1" xfId="0" applyFont="1" applyFill="1" applyBorder="1" applyAlignment="1"/>
    <xf numFmtId="0" fontId="5" fillId="4" borderId="1" xfId="0" applyFont="1" applyFill="1" applyBorder="1" applyAlignment="1"/>
    <xf numFmtId="0" fontId="5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AADE-AB8A-4D6F-843E-6DF5A86FA438}">
  <dimension ref="A1:M133"/>
  <sheetViews>
    <sheetView tabSelected="1" workbookViewId="0">
      <pane ySplit="3" topLeftCell="A4" activePane="bottomLeft" state="frozen"/>
      <selection pane="bottomLeft" activeCell="A3" sqref="A1:XFD3"/>
    </sheetView>
  </sheetViews>
  <sheetFormatPr defaultRowHeight="14.45"/>
  <cols>
    <col min="1" max="1" width="3.5703125" bestFit="1" customWidth="1"/>
    <col min="2" max="2" width="23.28515625" customWidth="1"/>
    <col min="3" max="3" width="26.85546875" bestFit="1" customWidth="1"/>
    <col min="4" max="4" width="8.85546875" bestFit="1" customWidth="1"/>
    <col min="5" max="5" width="8" bestFit="1" customWidth="1"/>
    <col min="6" max="6" width="21.140625" bestFit="1" customWidth="1"/>
    <col min="7" max="7" width="7.5703125" bestFit="1" customWidth="1"/>
    <col min="8" max="8" width="33.28515625" bestFit="1" customWidth="1"/>
    <col min="9" max="9" width="37.85546875" bestFit="1" customWidth="1"/>
    <col min="10" max="10" width="13.85546875" bestFit="1" customWidth="1"/>
    <col min="11" max="11" width="40.42578125" bestFit="1" customWidth="1"/>
    <col min="12" max="12" width="9" bestFit="1" customWidth="1"/>
    <col min="13" max="13" width="32.7109375" customWidth="1"/>
  </cols>
  <sheetData>
    <row r="1" spans="1:13">
      <c r="A1" s="1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2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3" t="s">
        <v>2</v>
      </c>
      <c r="B3" s="18"/>
      <c r="C3" s="18"/>
      <c r="D3" s="18"/>
      <c r="E3" s="18"/>
      <c r="F3" s="14" t="s">
        <v>3</v>
      </c>
      <c r="G3" s="19"/>
      <c r="H3" s="15" t="s">
        <v>4</v>
      </c>
      <c r="I3" s="20"/>
      <c r="J3" s="20"/>
      <c r="K3" s="8" t="s">
        <v>5</v>
      </c>
      <c r="L3" s="7"/>
      <c r="M3" s="7"/>
    </row>
    <row r="4" spans="1:13" ht="23.1">
      <c r="A4" s="5" t="s">
        <v>6</v>
      </c>
      <c r="B4" s="6" t="s">
        <v>7</v>
      </c>
      <c r="C4" s="6" t="s">
        <v>8</v>
      </c>
      <c r="D4" s="5" t="s">
        <v>9</v>
      </c>
      <c r="E4" s="5" t="s">
        <v>10</v>
      </c>
      <c r="F4" s="6" t="s">
        <v>11</v>
      </c>
      <c r="G4" s="5" t="s">
        <v>12</v>
      </c>
      <c r="H4" s="6" t="s">
        <v>13</v>
      </c>
      <c r="I4" s="6" t="s">
        <v>14</v>
      </c>
      <c r="J4" s="5" t="s">
        <v>15</v>
      </c>
      <c r="K4" s="6" t="s">
        <v>16</v>
      </c>
      <c r="L4" s="5" t="s">
        <v>17</v>
      </c>
      <c r="M4" s="6" t="s">
        <v>18</v>
      </c>
    </row>
    <row r="5" spans="1:13" ht="34.5">
      <c r="A5" s="1">
        <v>1</v>
      </c>
      <c r="B5" s="10" t="s">
        <v>19</v>
      </c>
      <c r="C5" s="3" t="s">
        <v>20</v>
      </c>
      <c r="D5" s="1" t="s">
        <v>21</v>
      </c>
      <c r="E5" s="1" t="s">
        <v>22</v>
      </c>
      <c r="F5" s="3" t="s">
        <v>22</v>
      </c>
      <c r="G5" s="1" t="s">
        <v>22</v>
      </c>
      <c r="H5" s="3" t="s">
        <v>23</v>
      </c>
      <c r="I5" s="3" t="s">
        <v>22</v>
      </c>
      <c r="J5" s="1" t="s">
        <v>22</v>
      </c>
      <c r="K5" s="9" t="s">
        <v>24</v>
      </c>
      <c r="L5" s="4" t="s">
        <v>25</v>
      </c>
      <c r="M5" s="2" t="s">
        <v>26</v>
      </c>
    </row>
    <row r="6" spans="1:13" ht="45.95">
      <c r="A6" s="1">
        <f>A5+1</f>
        <v>2</v>
      </c>
      <c r="B6" s="10" t="s">
        <v>19</v>
      </c>
      <c r="C6" s="3" t="s">
        <v>27</v>
      </c>
      <c r="D6" s="1" t="s">
        <v>21</v>
      </c>
      <c r="E6" s="1" t="s">
        <v>28</v>
      </c>
      <c r="F6" s="3" t="s">
        <v>29</v>
      </c>
      <c r="G6" s="1" t="s">
        <v>30</v>
      </c>
      <c r="H6" s="3" t="s">
        <v>31</v>
      </c>
      <c r="I6" s="3" t="s">
        <v>32</v>
      </c>
      <c r="J6" s="1" t="s">
        <v>33</v>
      </c>
      <c r="K6" s="3" t="s">
        <v>34</v>
      </c>
      <c r="L6" s="4" t="s">
        <v>35</v>
      </c>
      <c r="M6" s="2" t="s">
        <v>36</v>
      </c>
    </row>
    <row r="7" spans="1:13" ht="23.1">
      <c r="A7" s="1">
        <f t="shared" ref="A7:A70" si="0">A6+1</f>
        <v>3</v>
      </c>
      <c r="B7" s="10" t="s">
        <v>19</v>
      </c>
      <c r="C7" s="3" t="s">
        <v>37</v>
      </c>
      <c r="D7" s="1" t="s">
        <v>30</v>
      </c>
      <c r="E7" s="1" t="s">
        <v>38</v>
      </c>
      <c r="F7" s="3" t="s">
        <v>29</v>
      </c>
      <c r="G7" s="1" t="s">
        <v>30</v>
      </c>
      <c r="H7" s="3" t="s">
        <v>31</v>
      </c>
      <c r="I7" s="3" t="s">
        <v>39</v>
      </c>
      <c r="J7" s="1" t="s">
        <v>30</v>
      </c>
      <c r="K7" s="3" t="s">
        <v>40</v>
      </c>
      <c r="L7" s="4" t="s">
        <v>41</v>
      </c>
      <c r="M7" s="2" t="s">
        <v>42</v>
      </c>
    </row>
    <row r="8" spans="1:13" ht="45.95">
      <c r="A8" s="1">
        <f t="shared" si="0"/>
        <v>4</v>
      </c>
      <c r="B8" s="10" t="s">
        <v>19</v>
      </c>
      <c r="C8" s="3" t="s">
        <v>43</v>
      </c>
      <c r="D8" s="1" t="s">
        <v>30</v>
      </c>
      <c r="E8" s="1" t="s">
        <v>44</v>
      </c>
      <c r="F8" s="3" t="s">
        <v>45</v>
      </c>
      <c r="G8" s="1" t="s">
        <v>30</v>
      </c>
      <c r="H8" s="3" t="s">
        <v>46</v>
      </c>
      <c r="I8" s="3" t="s">
        <v>47</v>
      </c>
      <c r="J8" s="1" t="s">
        <v>30</v>
      </c>
      <c r="K8" s="3" t="s">
        <v>48</v>
      </c>
      <c r="L8" s="4" t="s">
        <v>41</v>
      </c>
      <c r="M8" s="2" t="s">
        <v>49</v>
      </c>
    </row>
    <row r="9" spans="1:13" ht="45.95">
      <c r="A9" s="1">
        <f t="shared" si="0"/>
        <v>5</v>
      </c>
      <c r="B9" s="10" t="s">
        <v>19</v>
      </c>
      <c r="C9" s="3" t="s">
        <v>50</v>
      </c>
      <c r="D9" s="1" t="s">
        <v>30</v>
      </c>
      <c r="E9" s="1" t="s">
        <v>44</v>
      </c>
      <c r="F9" s="3" t="s">
        <v>51</v>
      </c>
      <c r="G9" s="1" t="s">
        <v>30</v>
      </c>
      <c r="H9" s="3" t="s">
        <v>46</v>
      </c>
      <c r="I9" s="3" t="s">
        <v>52</v>
      </c>
      <c r="J9" s="1" t="s">
        <v>30</v>
      </c>
      <c r="K9" s="3" t="s">
        <v>53</v>
      </c>
      <c r="L9" s="4" t="s">
        <v>41</v>
      </c>
      <c r="M9" s="2" t="s">
        <v>54</v>
      </c>
    </row>
    <row r="10" spans="1:13" ht="34.5">
      <c r="A10" s="1">
        <f t="shared" si="0"/>
        <v>6</v>
      </c>
      <c r="B10" s="10" t="s">
        <v>19</v>
      </c>
      <c r="C10" s="3" t="s">
        <v>55</v>
      </c>
      <c r="D10" s="1" t="s">
        <v>30</v>
      </c>
      <c r="E10" s="1" t="s">
        <v>44</v>
      </c>
      <c r="F10" s="3" t="s">
        <v>56</v>
      </c>
      <c r="G10" s="1" t="s">
        <v>30</v>
      </c>
      <c r="H10" s="3" t="s">
        <v>57</v>
      </c>
      <c r="I10" s="3" t="s">
        <v>58</v>
      </c>
      <c r="J10" s="1" t="s">
        <v>30</v>
      </c>
      <c r="K10" s="9" t="s">
        <v>59</v>
      </c>
      <c r="L10" s="4" t="s">
        <v>60</v>
      </c>
      <c r="M10" s="2" t="s">
        <v>61</v>
      </c>
    </row>
    <row r="11" spans="1:13" ht="45.95">
      <c r="A11" s="1">
        <f t="shared" si="0"/>
        <v>7</v>
      </c>
      <c r="B11" s="10" t="s">
        <v>19</v>
      </c>
      <c r="C11" s="3" t="s">
        <v>62</v>
      </c>
      <c r="D11" s="1" t="s">
        <v>63</v>
      </c>
      <c r="E11" s="1" t="s">
        <v>64</v>
      </c>
      <c r="F11" s="3" t="s">
        <v>65</v>
      </c>
      <c r="G11" s="1" t="s">
        <v>63</v>
      </c>
      <c r="H11" s="3" t="s">
        <v>31</v>
      </c>
      <c r="I11" s="3" t="s">
        <v>66</v>
      </c>
      <c r="J11" s="1" t="s">
        <v>30</v>
      </c>
      <c r="K11" s="3" t="s">
        <v>67</v>
      </c>
      <c r="L11" s="4" t="s">
        <v>35</v>
      </c>
      <c r="M11" s="2" t="s">
        <v>68</v>
      </c>
    </row>
    <row r="12" spans="1:13" ht="45.95">
      <c r="A12" s="1">
        <f t="shared" si="0"/>
        <v>8</v>
      </c>
      <c r="B12" s="10" t="s">
        <v>19</v>
      </c>
      <c r="C12" s="3" t="s">
        <v>69</v>
      </c>
      <c r="D12" s="1" t="s">
        <v>30</v>
      </c>
      <c r="E12" s="1" t="s">
        <v>70</v>
      </c>
      <c r="F12" s="3" t="s">
        <v>71</v>
      </c>
      <c r="G12" s="1" t="s">
        <v>30</v>
      </c>
      <c r="H12" s="3" t="s">
        <v>31</v>
      </c>
      <c r="I12" s="3" t="s">
        <v>72</v>
      </c>
      <c r="J12" s="1" t="s">
        <v>30</v>
      </c>
      <c r="K12" s="3" t="s">
        <v>73</v>
      </c>
      <c r="L12" s="4" t="s">
        <v>74</v>
      </c>
      <c r="M12" s="2" t="s">
        <v>75</v>
      </c>
    </row>
    <row r="13" spans="1:13" ht="34.5">
      <c r="A13" s="1">
        <f t="shared" si="0"/>
        <v>9</v>
      </c>
      <c r="B13" s="10" t="s">
        <v>19</v>
      </c>
      <c r="C13" s="3" t="s">
        <v>76</v>
      </c>
      <c r="D13" s="1" t="s">
        <v>30</v>
      </c>
      <c r="E13" s="1" t="s">
        <v>77</v>
      </c>
      <c r="F13" s="3" t="s">
        <v>78</v>
      </c>
      <c r="G13" s="1" t="s">
        <v>30</v>
      </c>
      <c r="H13" s="3" t="s">
        <v>79</v>
      </c>
      <c r="I13" s="3" t="s">
        <v>80</v>
      </c>
      <c r="J13" s="1" t="s">
        <v>30</v>
      </c>
      <c r="K13" s="3" t="s">
        <v>81</v>
      </c>
      <c r="L13" s="4" t="s">
        <v>41</v>
      </c>
      <c r="M13" s="2" t="s">
        <v>82</v>
      </c>
    </row>
    <row r="14" spans="1:13">
      <c r="A14" s="1">
        <f t="shared" si="0"/>
        <v>10</v>
      </c>
      <c r="B14" s="10" t="s">
        <v>19</v>
      </c>
      <c r="C14" s="3" t="s">
        <v>83</v>
      </c>
      <c r="D14" s="1" t="s">
        <v>30</v>
      </c>
      <c r="E14" s="1" t="s">
        <v>77</v>
      </c>
      <c r="F14" s="3" t="s">
        <v>84</v>
      </c>
      <c r="G14" s="1" t="s">
        <v>30</v>
      </c>
      <c r="H14" s="3" t="s">
        <v>79</v>
      </c>
      <c r="I14" s="3" t="s">
        <v>84</v>
      </c>
      <c r="J14" s="1" t="s">
        <v>30</v>
      </c>
      <c r="K14" s="3" t="s">
        <v>85</v>
      </c>
      <c r="L14" s="4" t="s">
        <v>41</v>
      </c>
      <c r="M14" s="2" t="s">
        <v>86</v>
      </c>
    </row>
    <row r="15" spans="1:13">
      <c r="A15" s="1">
        <f t="shared" si="0"/>
        <v>11</v>
      </c>
      <c r="B15" s="10" t="s">
        <v>19</v>
      </c>
      <c r="C15" s="3" t="s">
        <v>87</v>
      </c>
      <c r="D15" s="1" t="s">
        <v>30</v>
      </c>
      <c r="E15" s="1" t="s">
        <v>77</v>
      </c>
      <c r="F15" s="3" t="s">
        <v>88</v>
      </c>
      <c r="G15" s="1" t="s">
        <v>30</v>
      </c>
      <c r="H15" s="3" t="s">
        <v>79</v>
      </c>
      <c r="I15" s="3" t="s">
        <v>88</v>
      </c>
      <c r="J15" s="1" t="s">
        <v>30</v>
      </c>
      <c r="K15" s="3" t="s">
        <v>89</v>
      </c>
      <c r="L15" s="4" t="s">
        <v>74</v>
      </c>
      <c r="M15" s="2" t="s">
        <v>90</v>
      </c>
    </row>
    <row r="16" spans="1:13" ht="23.1">
      <c r="A16" s="1">
        <f t="shared" si="0"/>
        <v>12</v>
      </c>
      <c r="B16" s="10" t="s">
        <v>19</v>
      </c>
      <c r="C16" s="3" t="s">
        <v>91</v>
      </c>
      <c r="D16" s="1" t="s">
        <v>30</v>
      </c>
      <c r="E16" s="1" t="s">
        <v>77</v>
      </c>
      <c r="F16" s="3" t="s">
        <v>92</v>
      </c>
      <c r="G16" s="1" t="s">
        <v>30</v>
      </c>
      <c r="H16" s="3" t="s">
        <v>79</v>
      </c>
      <c r="I16" s="3" t="s">
        <v>93</v>
      </c>
      <c r="J16" s="1" t="s">
        <v>30</v>
      </c>
      <c r="K16" s="3" t="s">
        <v>94</v>
      </c>
      <c r="L16" s="4" t="s">
        <v>74</v>
      </c>
      <c r="M16" s="2" t="s">
        <v>95</v>
      </c>
    </row>
    <row r="17" spans="1:13" ht="23.1">
      <c r="A17" s="1">
        <f t="shared" si="0"/>
        <v>13</v>
      </c>
      <c r="B17" s="10" t="s">
        <v>19</v>
      </c>
      <c r="C17" s="3" t="s">
        <v>96</v>
      </c>
      <c r="D17" s="1" t="s">
        <v>30</v>
      </c>
      <c r="E17" s="1" t="s">
        <v>97</v>
      </c>
      <c r="F17" s="3" t="s">
        <v>98</v>
      </c>
      <c r="G17" s="1" t="s">
        <v>30</v>
      </c>
      <c r="H17" s="3" t="s">
        <v>57</v>
      </c>
      <c r="I17" s="3" t="s">
        <v>98</v>
      </c>
      <c r="J17" s="1" t="s">
        <v>30</v>
      </c>
      <c r="K17" s="9" t="s">
        <v>59</v>
      </c>
      <c r="L17" s="4" t="s">
        <v>60</v>
      </c>
      <c r="M17" s="2" t="s">
        <v>99</v>
      </c>
    </row>
    <row r="18" spans="1:13">
      <c r="A18" s="1">
        <f t="shared" si="0"/>
        <v>14</v>
      </c>
      <c r="B18" s="10" t="s">
        <v>19</v>
      </c>
      <c r="C18" s="3" t="s">
        <v>100</v>
      </c>
      <c r="D18" s="1" t="s">
        <v>30</v>
      </c>
      <c r="E18" s="1" t="s">
        <v>101</v>
      </c>
      <c r="F18" s="3" t="s">
        <v>102</v>
      </c>
      <c r="G18" s="1" t="s">
        <v>30</v>
      </c>
      <c r="H18" s="3" t="s">
        <v>79</v>
      </c>
      <c r="I18" s="3" t="s">
        <v>102</v>
      </c>
      <c r="J18" s="1" t="s">
        <v>30</v>
      </c>
      <c r="K18" s="3" t="s">
        <v>103</v>
      </c>
      <c r="L18" s="4" t="s">
        <v>41</v>
      </c>
      <c r="M18" s="2" t="s">
        <v>86</v>
      </c>
    </row>
    <row r="19" spans="1:13" ht="23.1">
      <c r="A19" s="1">
        <f t="shared" si="0"/>
        <v>15</v>
      </c>
      <c r="B19" s="10" t="s">
        <v>19</v>
      </c>
      <c r="C19" s="3" t="s">
        <v>104</v>
      </c>
      <c r="D19" s="1" t="s">
        <v>30</v>
      </c>
      <c r="E19" s="1" t="s">
        <v>105</v>
      </c>
      <c r="F19" s="3" t="s">
        <v>106</v>
      </c>
      <c r="G19" s="1" t="s">
        <v>30</v>
      </c>
      <c r="H19" s="3" t="s">
        <v>79</v>
      </c>
      <c r="I19" s="3" t="s">
        <v>107</v>
      </c>
      <c r="J19" s="1" t="s">
        <v>30</v>
      </c>
      <c r="K19" s="3" t="s">
        <v>108</v>
      </c>
      <c r="L19" s="4" t="s">
        <v>74</v>
      </c>
      <c r="M19" s="2" t="s">
        <v>109</v>
      </c>
    </row>
    <row r="20" spans="1:13" ht="23.1">
      <c r="A20" s="1">
        <f t="shared" si="0"/>
        <v>16</v>
      </c>
      <c r="B20" s="10" t="s">
        <v>19</v>
      </c>
      <c r="C20" s="3" t="s">
        <v>110</v>
      </c>
      <c r="D20" s="1" t="s">
        <v>30</v>
      </c>
      <c r="E20" s="1" t="s">
        <v>28</v>
      </c>
      <c r="F20" s="3" t="s">
        <v>22</v>
      </c>
      <c r="G20" s="1" t="s">
        <v>22</v>
      </c>
      <c r="H20" s="3" t="s">
        <v>5</v>
      </c>
      <c r="I20" s="3" t="s">
        <v>111</v>
      </c>
      <c r="J20" s="1" t="s">
        <v>30</v>
      </c>
      <c r="K20" s="3" t="s">
        <v>112</v>
      </c>
      <c r="L20" s="4" t="s">
        <v>41</v>
      </c>
      <c r="M20" s="2" t="s">
        <v>113</v>
      </c>
    </row>
    <row r="21" spans="1:13" ht="23.1">
      <c r="A21" s="1">
        <f t="shared" si="0"/>
        <v>17</v>
      </c>
      <c r="B21" s="10" t="s">
        <v>19</v>
      </c>
      <c r="C21" s="3" t="s">
        <v>114</v>
      </c>
      <c r="D21" s="1" t="s">
        <v>63</v>
      </c>
      <c r="E21" s="1" t="s">
        <v>28</v>
      </c>
      <c r="F21" s="3" t="s">
        <v>22</v>
      </c>
      <c r="G21" s="1" t="s">
        <v>22</v>
      </c>
      <c r="H21" s="3" t="s">
        <v>23</v>
      </c>
      <c r="I21" s="3" t="s">
        <v>22</v>
      </c>
      <c r="J21" s="1" t="s">
        <v>22</v>
      </c>
      <c r="K21" s="3" t="s">
        <v>115</v>
      </c>
      <c r="L21" s="4" t="s">
        <v>25</v>
      </c>
      <c r="M21" s="2" t="s">
        <v>116</v>
      </c>
    </row>
    <row r="22" spans="1:13" ht="23.1">
      <c r="A22" s="1">
        <f t="shared" si="0"/>
        <v>18</v>
      </c>
      <c r="B22" s="3" t="s">
        <v>117</v>
      </c>
      <c r="C22" s="3" t="s">
        <v>118</v>
      </c>
      <c r="D22" s="1" t="s">
        <v>21</v>
      </c>
      <c r="E22" s="1" t="s">
        <v>22</v>
      </c>
      <c r="F22" s="3" t="s">
        <v>22</v>
      </c>
      <c r="G22" s="1" t="s">
        <v>22</v>
      </c>
      <c r="H22" s="3" t="s">
        <v>23</v>
      </c>
      <c r="I22" s="3" t="s">
        <v>22</v>
      </c>
      <c r="J22" s="1" t="s">
        <v>22</v>
      </c>
      <c r="K22" s="9" t="s">
        <v>24</v>
      </c>
      <c r="L22" s="4" t="s">
        <v>25</v>
      </c>
      <c r="M22" s="2" t="s">
        <v>119</v>
      </c>
    </row>
    <row r="23" spans="1:13" ht="69">
      <c r="A23" s="1">
        <f t="shared" si="0"/>
        <v>19</v>
      </c>
      <c r="B23" s="3" t="s">
        <v>117</v>
      </c>
      <c r="C23" s="3" t="s">
        <v>120</v>
      </c>
      <c r="D23" s="1" t="s">
        <v>30</v>
      </c>
      <c r="E23" s="1" t="s">
        <v>121</v>
      </c>
      <c r="F23" s="3" t="s">
        <v>122</v>
      </c>
      <c r="G23" s="1" t="s">
        <v>30</v>
      </c>
      <c r="H23" s="3" t="s">
        <v>123</v>
      </c>
      <c r="I23" s="3" t="s">
        <v>124</v>
      </c>
      <c r="J23" s="1" t="s">
        <v>30</v>
      </c>
      <c r="K23" s="3" t="s">
        <v>125</v>
      </c>
      <c r="L23" s="4" t="s">
        <v>60</v>
      </c>
      <c r="M23" s="2" t="s">
        <v>126</v>
      </c>
    </row>
    <row r="24" spans="1:13" ht="23.1">
      <c r="A24" s="1">
        <f t="shared" si="0"/>
        <v>20</v>
      </c>
      <c r="B24" s="3" t="s">
        <v>117</v>
      </c>
      <c r="C24" s="3" t="s">
        <v>20</v>
      </c>
      <c r="D24" s="1" t="s">
        <v>21</v>
      </c>
      <c r="E24" s="1" t="s">
        <v>127</v>
      </c>
      <c r="F24" s="3" t="s">
        <v>29</v>
      </c>
      <c r="G24" s="1" t="s">
        <v>30</v>
      </c>
      <c r="H24" s="3" t="s">
        <v>31</v>
      </c>
      <c r="I24" s="3" t="s">
        <v>128</v>
      </c>
      <c r="J24" s="1" t="s">
        <v>21</v>
      </c>
      <c r="K24" s="9" t="s">
        <v>129</v>
      </c>
      <c r="L24" s="4" t="s">
        <v>25</v>
      </c>
      <c r="M24" s="2" t="s">
        <v>130</v>
      </c>
    </row>
    <row r="25" spans="1:13" ht="23.1">
      <c r="A25" s="1">
        <f t="shared" si="0"/>
        <v>21</v>
      </c>
      <c r="B25" s="3" t="s">
        <v>117</v>
      </c>
      <c r="C25" s="3" t="s">
        <v>131</v>
      </c>
      <c r="D25" s="1" t="s">
        <v>21</v>
      </c>
      <c r="E25" s="1" t="s">
        <v>132</v>
      </c>
      <c r="F25" s="3" t="s">
        <v>133</v>
      </c>
      <c r="G25" s="1" t="s">
        <v>30</v>
      </c>
      <c r="H25" s="3" t="s">
        <v>79</v>
      </c>
      <c r="I25" s="3" t="s">
        <v>134</v>
      </c>
      <c r="J25" s="1" t="s">
        <v>30</v>
      </c>
      <c r="K25" s="9" t="s">
        <v>129</v>
      </c>
      <c r="L25" s="4" t="s">
        <v>25</v>
      </c>
      <c r="M25" s="2" t="s">
        <v>135</v>
      </c>
    </row>
    <row r="26" spans="1:13" ht="23.1">
      <c r="A26" s="1">
        <f t="shared" si="0"/>
        <v>22</v>
      </c>
      <c r="B26" s="3" t="s">
        <v>117</v>
      </c>
      <c r="C26" s="3" t="s">
        <v>136</v>
      </c>
      <c r="D26" s="1" t="s">
        <v>21</v>
      </c>
      <c r="E26" s="1" t="s">
        <v>137</v>
      </c>
      <c r="F26" s="3" t="s">
        <v>138</v>
      </c>
      <c r="G26" s="1" t="s">
        <v>30</v>
      </c>
      <c r="H26" s="3" t="s">
        <v>79</v>
      </c>
      <c r="I26" s="3" t="s">
        <v>139</v>
      </c>
      <c r="J26" s="1" t="s">
        <v>30</v>
      </c>
      <c r="K26" s="9" t="s">
        <v>129</v>
      </c>
      <c r="L26" s="4" t="s">
        <v>25</v>
      </c>
      <c r="M26" s="2" t="s">
        <v>135</v>
      </c>
    </row>
    <row r="27" spans="1:13" ht="23.1">
      <c r="A27" s="1">
        <f t="shared" si="0"/>
        <v>23</v>
      </c>
      <c r="B27" s="3" t="s">
        <v>117</v>
      </c>
      <c r="C27" s="3" t="s">
        <v>140</v>
      </c>
      <c r="D27" s="1" t="s">
        <v>21</v>
      </c>
      <c r="E27" s="1" t="s">
        <v>141</v>
      </c>
      <c r="F27" s="3" t="s">
        <v>142</v>
      </c>
      <c r="G27" s="1" t="s">
        <v>30</v>
      </c>
      <c r="H27" s="3" t="s">
        <v>31</v>
      </c>
      <c r="I27" s="3" t="s">
        <v>143</v>
      </c>
      <c r="J27" s="1" t="s">
        <v>30</v>
      </c>
      <c r="K27" s="9" t="s">
        <v>129</v>
      </c>
      <c r="L27" s="4" t="s">
        <v>25</v>
      </c>
      <c r="M27" s="2" t="s">
        <v>144</v>
      </c>
    </row>
    <row r="28" spans="1:13">
      <c r="A28" s="1">
        <f t="shared" si="0"/>
        <v>24</v>
      </c>
      <c r="B28" s="3" t="s">
        <v>117</v>
      </c>
      <c r="C28" s="3" t="s">
        <v>145</v>
      </c>
      <c r="D28" s="1" t="s">
        <v>21</v>
      </c>
      <c r="E28" s="1" t="s">
        <v>146</v>
      </c>
      <c r="F28" s="3" t="s">
        <v>147</v>
      </c>
      <c r="G28" s="1" t="s">
        <v>30</v>
      </c>
      <c r="H28" s="3" t="s">
        <v>31</v>
      </c>
      <c r="I28" s="3" t="s">
        <v>148</v>
      </c>
      <c r="J28" s="1" t="s">
        <v>30</v>
      </c>
      <c r="K28" s="9" t="s">
        <v>129</v>
      </c>
      <c r="L28" s="4" t="s">
        <v>25</v>
      </c>
      <c r="M28" s="2" t="s">
        <v>149</v>
      </c>
    </row>
    <row r="29" spans="1:13" ht="45.95">
      <c r="A29" s="1">
        <f t="shared" si="0"/>
        <v>25</v>
      </c>
      <c r="B29" s="3" t="s">
        <v>117</v>
      </c>
      <c r="C29" s="3" t="s">
        <v>150</v>
      </c>
      <c r="D29" s="1" t="s">
        <v>30</v>
      </c>
      <c r="E29" s="1" t="s">
        <v>151</v>
      </c>
      <c r="F29" s="3" t="s">
        <v>152</v>
      </c>
      <c r="G29" s="1" t="s">
        <v>30</v>
      </c>
      <c r="H29" s="3" t="s">
        <v>31</v>
      </c>
      <c r="I29" s="3" t="s">
        <v>153</v>
      </c>
      <c r="J29" s="1" t="s">
        <v>30</v>
      </c>
      <c r="K29" s="3" t="s">
        <v>154</v>
      </c>
      <c r="L29" s="4" t="s">
        <v>74</v>
      </c>
      <c r="M29" s="2" t="s">
        <v>155</v>
      </c>
    </row>
    <row r="30" spans="1:13" ht="23.1">
      <c r="A30" s="1">
        <f t="shared" si="0"/>
        <v>26</v>
      </c>
      <c r="B30" s="3" t="s">
        <v>117</v>
      </c>
      <c r="C30" s="3" t="s">
        <v>156</v>
      </c>
      <c r="D30" s="1" t="s">
        <v>63</v>
      </c>
      <c r="E30" s="1" t="s">
        <v>157</v>
      </c>
      <c r="F30" s="3" t="s">
        <v>158</v>
      </c>
      <c r="G30" s="1" t="s">
        <v>63</v>
      </c>
      <c r="H30" s="3" t="s">
        <v>31</v>
      </c>
      <c r="I30" s="3" t="s">
        <v>159</v>
      </c>
      <c r="J30" s="1" t="s">
        <v>30</v>
      </c>
      <c r="K30" s="3" t="s">
        <v>160</v>
      </c>
      <c r="L30" s="4" t="s">
        <v>35</v>
      </c>
      <c r="M30" s="2" t="s">
        <v>161</v>
      </c>
    </row>
    <row r="31" spans="1:13" ht="23.1">
      <c r="A31" s="1">
        <f t="shared" si="0"/>
        <v>27</v>
      </c>
      <c r="B31" s="3" t="s">
        <v>117</v>
      </c>
      <c r="C31" s="3" t="s">
        <v>162</v>
      </c>
      <c r="D31" s="1" t="s">
        <v>30</v>
      </c>
      <c r="E31" s="1" t="s">
        <v>163</v>
      </c>
      <c r="F31" s="3" t="s">
        <v>164</v>
      </c>
      <c r="G31" s="1" t="s">
        <v>30</v>
      </c>
      <c r="H31" s="3" t="s">
        <v>31</v>
      </c>
      <c r="I31" s="3" t="s">
        <v>165</v>
      </c>
      <c r="J31" s="1" t="s">
        <v>30</v>
      </c>
      <c r="K31" s="3" t="s">
        <v>166</v>
      </c>
      <c r="L31" s="4" t="s">
        <v>74</v>
      </c>
      <c r="M31" s="2" t="s">
        <v>167</v>
      </c>
    </row>
    <row r="32" spans="1:13" ht="23.1">
      <c r="A32" s="1">
        <f t="shared" si="0"/>
        <v>28</v>
      </c>
      <c r="B32" s="3" t="s">
        <v>117</v>
      </c>
      <c r="C32" s="3" t="s">
        <v>168</v>
      </c>
      <c r="D32" s="1" t="s">
        <v>30</v>
      </c>
      <c r="E32" s="1" t="s">
        <v>163</v>
      </c>
      <c r="F32" s="3" t="s">
        <v>169</v>
      </c>
      <c r="G32" s="1" t="s">
        <v>30</v>
      </c>
      <c r="H32" s="3" t="s">
        <v>31</v>
      </c>
      <c r="I32" s="3" t="s">
        <v>170</v>
      </c>
      <c r="J32" s="1" t="s">
        <v>30</v>
      </c>
      <c r="K32" s="3" t="s">
        <v>171</v>
      </c>
      <c r="L32" s="4" t="s">
        <v>41</v>
      </c>
      <c r="M32" s="2" t="s">
        <v>172</v>
      </c>
    </row>
    <row r="33" spans="1:13" ht="23.1">
      <c r="A33" s="1">
        <f t="shared" si="0"/>
        <v>29</v>
      </c>
      <c r="B33" s="3" t="s">
        <v>117</v>
      </c>
      <c r="C33" s="3" t="s">
        <v>173</v>
      </c>
      <c r="D33" s="1" t="s">
        <v>30</v>
      </c>
      <c r="E33" s="1" t="s">
        <v>174</v>
      </c>
      <c r="F33" s="3" t="s">
        <v>175</v>
      </c>
      <c r="G33" s="1" t="s">
        <v>30</v>
      </c>
      <c r="H33" s="3" t="s">
        <v>176</v>
      </c>
      <c r="I33" s="3" t="s">
        <v>177</v>
      </c>
      <c r="J33" s="1" t="s">
        <v>30</v>
      </c>
      <c r="K33" s="3" t="s">
        <v>178</v>
      </c>
      <c r="L33" s="4" t="s">
        <v>41</v>
      </c>
      <c r="M33" s="2" t="s">
        <v>179</v>
      </c>
    </row>
    <row r="34" spans="1:13" ht="34.5">
      <c r="A34" s="1">
        <f t="shared" si="0"/>
        <v>30</v>
      </c>
      <c r="B34" s="3" t="s">
        <v>117</v>
      </c>
      <c r="C34" s="3" t="s">
        <v>180</v>
      </c>
      <c r="D34" s="1" t="s">
        <v>30</v>
      </c>
      <c r="E34" s="1" t="s">
        <v>181</v>
      </c>
      <c r="F34" s="3" t="s">
        <v>182</v>
      </c>
      <c r="G34" s="1" t="s">
        <v>30</v>
      </c>
      <c r="H34" s="3" t="s">
        <v>183</v>
      </c>
      <c r="I34" s="3" t="s">
        <v>180</v>
      </c>
      <c r="J34" s="1" t="s">
        <v>30</v>
      </c>
      <c r="K34" s="9" t="s">
        <v>59</v>
      </c>
      <c r="L34" s="4" t="s">
        <v>60</v>
      </c>
      <c r="M34" s="2" t="s">
        <v>184</v>
      </c>
    </row>
    <row r="35" spans="1:13" ht="57.6">
      <c r="A35" s="1">
        <f t="shared" si="0"/>
        <v>31</v>
      </c>
      <c r="B35" s="3" t="s">
        <v>117</v>
      </c>
      <c r="C35" s="3" t="s">
        <v>185</v>
      </c>
      <c r="D35" s="1" t="s">
        <v>63</v>
      </c>
      <c r="E35" s="1" t="s">
        <v>186</v>
      </c>
      <c r="F35" s="3" t="s">
        <v>187</v>
      </c>
      <c r="G35" s="1" t="s">
        <v>63</v>
      </c>
      <c r="H35" s="3" t="s">
        <v>31</v>
      </c>
      <c r="I35" s="3" t="s">
        <v>188</v>
      </c>
      <c r="J35" s="1" t="s">
        <v>189</v>
      </c>
      <c r="K35" s="3" t="s">
        <v>190</v>
      </c>
      <c r="L35" s="4" t="s">
        <v>35</v>
      </c>
      <c r="M35" s="2" t="s">
        <v>191</v>
      </c>
    </row>
    <row r="36" spans="1:13" ht="34.5">
      <c r="A36" s="1">
        <f t="shared" si="0"/>
        <v>32</v>
      </c>
      <c r="B36" s="3" t="s">
        <v>117</v>
      </c>
      <c r="C36" s="3" t="s">
        <v>192</v>
      </c>
      <c r="D36" s="1" t="s">
        <v>63</v>
      </c>
      <c r="E36" s="1" t="s">
        <v>193</v>
      </c>
      <c r="F36" s="3" t="s">
        <v>194</v>
      </c>
      <c r="G36" s="1" t="s">
        <v>63</v>
      </c>
      <c r="H36" s="3" t="s">
        <v>31</v>
      </c>
      <c r="I36" s="3" t="s">
        <v>195</v>
      </c>
      <c r="J36" s="1" t="s">
        <v>189</v>
      </c>
      <c r="K36" s="3" t="s">
        <v>196</v>
      </c>
      <c r="L36" s="4" t="s">
        <v>35</v>
      </c>
      <c r="M36" s="2" t="s">
        <v>197</v>
      </c>
    </row>
    <row r="37" spans="1:13" ht="34.5">
      <c r="A37" s="1">
        <f t="shared" si="0"/>
        <v>33</v>
      </c>
      <c r="B37" s="3" t="s">
        <v>117</v>
      </c>
      <c r="C37" s="3" t="s">
        <v>198</v>
      </c>
      <c r="D37" s="1" t="s">
        <v>30</v>
      </c>
      <c r="E37" s="1" t="s">
        <v>199</v>
      </c>
      <c r="F37" s="3" t="s">
        <v>200</v>
      </c>
      <c r="G37" s="1" t="s">
        <v>30</v>
      </c>
      <c r="H37" s="3" t="s">
        <v>201</v>
      </c>
      <c r="I37" s="3" t="s">
        <v>202</v>
      </c>
      <c r="J37" s="1" t="s">
        <v>30</v>
      </c>
      <c r="K37" s="3" t="s">
        <v>203</v>
      </c>
      <c r="L37" s="4" t="s">
        <v>41</v>
      </c>
      <c r="M37" s="2" t="s">
        <v>204</v>
      </c>
    </row>
    <row r="38" spans="1:13" ht="34.5">
      <c r="A38" s="1">
        <f t="shared" si="0"/>
        <v>34</v>
      </c>
      <c r="B38" s="3" t="s">
        <v>117</v>
      </c>
      <c r="C38" s="3" t="s">
        <v>205</v>
      </c>
      <c r="D38" s="1" t="s">
        <v>30</v>
      </c>
      <c r="E38" s="1" t="s">
        <v>199</v>
      </c>
      <c r="F38" s="3" t="s">
        <v>206</v>
      </c>
      <c r="G38" s="1" t="s">
        <v>30</v>
      </c>
      <c r="H38" s="3" t="s">
        <v>79</v>
      </c>
      <c r="I38" s="3" t="s">
        <v>207</v>
      </c>
      <c r="J38" s="1" t="s">
        <v>30</v>
      </c>
      <c r="K38" s="9" t="s">
        <v>59</v>
      </c>
      <c r="L38" s="4" t="s">
        <v>60</v>
      </c>
      <c r="M38" s="2" t="s">
        <v>208</v>
      </c>
    </row>
    <row r="39" spans="1:13">
      <c r="A39" s="1">
        <f t="shared" si="0"/>
        <v>35</v>
      </c>
      <c r="B39" s="3" t="s">
        <v>117</v>
      </c>
      <c r="C39" s="3" t="s">
        <v>209</v>
      </c>
      <c r="D39" s="1" t="s">
        <v>30</v>
      </c>
      <c r="E39" s="1" t="s">
        <v>210</v>
      </c>
      <c r="F39" s="3" t="s">
        <v>211</v>
      </c>
      <c r="G39" s="1" t="s">
        <v>30</v>
      </c>
      <c r="H39" s="3" t="s">
        <v>212</v>
      </c>
      <c r="I39" s="3" t="s">
        <v>213</v>
      </c>
      <c r="J39" s="1" t="s">
        <v>30</v>
      </c>
      <c r="K39" s="3" t="s">
        <v>214</v>
      </c>
      <c r="L39" s="4" t="s">
        <v>41</v>
      </c>
      <c r="M39" s="2" t="s">
        <v>215</v>
      </c>
    </row>
    <row r="40" spans="1:13" ht="23.1">
      <c r="A40" s="1">
        <f t="shared" si="0"/>
        <v>36</v>
      </c>
      <c r="B40" s="3" t="s">
        <v>117</v>
      </c>
      <c r="C40" s="3" t="s">
        <v>216</v>
      </c>
      <c r="D40" s="1" t="s">
        <v>30</v>
      </c>
      <c r="E40" s="1" t="s">
        <v>210</v>
      </c>
      <c r="F40" s="3" t="s">
        <v>217</v>
      </c>
      <c r="G40" s="1" t="s">
        <v>30</v>
      </c>
      <c r="H40" s="3" t="s">
        <v>79</v>
      </c>
      <c r="I40" s="3" t="s">
        <v>218</v>
      </c>
      <c r="J40" s="1" t="s">
        <v>30</v>
      </c>
      <c r="K40" s="3" t="s">
        <v>219</v>
      </c>
      <c r="L40" s="4" t="s">
        <v>41</v>
      </c>
      <c r="M40" s="2" t="s">
        <v>220</v>
      </c>
    </row>
    <row r="41" spans="1:13" ht="45.95">
      <c r="A41" s="1">
        <f t="shared" si="0"/>
        <v>37</v>
      </c>
      <c r="B41" s="3" t="s">
        <v>117</v>
      </c>
      <c r="C41" s="3" t="s">
        <v>221</v>
      </c>
      <c r="D41" s="1" t="s">
        <v>30</v>
      </c>
      <c r="E41" s="1" t="s">
        <v>222</v>
      </c>
      <c r="F41" s="3" t="s">
        <v>223</v>
      </c>
      <c r="G41" s="1" t="s">
        <v>30</v>
      </c>
      <c r="H41" s="3" t="s">
        <v>201</v>
      </c>
      <c r="I41" s="3" t="s">
        <v>224</v>
      </c>
      <c r="J41" s="1" t="s">
        <v>30</v>
      </c>
      <c r="K41" s="9" t="s">
        <v>59</v>
      </c>
      <c r="L41" s="4" t="s">
        <v>60</v>
      </c>
      <c r="M41" s="2" t="s">
        <v>225</v>
      </c>
    </row>
    <row r="42" spans="1:13" ht="23.1">
      <c r="A42" s="1">
        <f t="shared" si="0"/>
        <v>38</v>
      </c>
      <c r="B42" s="3" t="s">
        <v>117</v>
      </c>
      <c r="C42" s="3" t="s">
        <v>226</v>
      </c>
      <c r="D42" s="1" t="s">
        <v>30</v>
      </c>
      <c r="E42" s="1" t="s">
        <v>227</v>
      </c>
      <c r="F42" s="3" t="s">
        <v>223</v>
      </c>
      <c r="G42" s="1" t="s">
        <v>30</v>
      </c>
      <c r="H42" s="3" t="s">
        <v>31</v>
      </c>
      <c r="I42" s="3" t="s">
        <v>224</v>
      </c>
      <c r="J42" s="1" t="s">
        <v>30</v>
      </c>
      <c r="K42" s="3" t="s">
        <v>228</v>
      </c>
      <c r="L42" s="4" t="s">
        <v>41</v>
      </c>
      <c r="M42" s="2" t="s">
        <v>229</v>
      </c>
    </row>
    <row r="43" spans="1:13" ht="34.5">
      <c r="A43" s="1">
        <f t="shared" si="0"/>
        <v>39</v>
      </c>
      <c r="B43" s="3" t="s">
        <v>117</v>
      </c>
      <c r="C43" s="3" t="s">
        <v>230</v>
      </c>
      <c r="D43" s="1" t="s">
        <v>30</v>
      </c>
      <c r="E43" s="1" t="s">
        <v>28</v>
      </c>
      <c r="F43" s="3" t="s">
        <v>22</v>
      </c>
      <c r="G43" s="1" t="s">
        <v>22</v>
      </c>
      <c r="H43" s="3" t="s">
        <v>23</v>
      </c>
      <c r="I43" s="3" t="s">
        <v>22</v>
      </c>
      <c r="J43" s="1" t="s">
        <v>22</v>
      </c>
      <c r="K43" s="3" t="s">
        <v>231</v>
      </c>
      <c r="L43" s="4" t="s">
        <v>232</v>
      </c>
      <c r="M43" s="2" t="s">
        <v>233</v>
      </c>
    </row>
    <row r="44" spans="1:13">
      <c r="A44" s="1">
        <f t="shared" si="0"/>
        <v>40</v>
      </c>
      <c r="B44" s="3" t="s">
        <v>117</v>
      </c>
      <c r="C44" s="3" t="s">
        <v>234</v>
      </c>
      <c r="D44" s="1" t="s">
        <v>30</v>
      </c>
      <c r="E44" s="1" t="s">
        <v>28</v>
      </c>
      <c r="F44" s="3" t="s">
        <v>235</v>
      </c>
      <c r="G44" s="1" t="s">
        <v>30</v>
      </c>
      <c r="H44" s="3" t="s">
        <v>236</v>
      </c>
      <c r="I44" s="3" t="s">
        <v>237</v>
      </c>
      <c r="J44" s="1" t="s">
        <v>30</v>
      </c>
      <c r="K44" s="9" t="s">
        <v>59</v>
      </c>
      <c r="L44" s="4" t="s">
        <v>60</v>
      </c>
      <c r="M44" s="2" t="s">
        <v>238</v>
      </c>
    </row>
    <row r="45" spans="1:13">
      <c r="A45" s="1">
        <f t="shared" si="0"/>
        <v>41</v>
      </c>
      <c r="B45" s="3" t="s">
        <v>117</v>
      </c>
      <c r="C45" s="3" t="s">
        <v>239</v>
      </c>
      <c r="D45" s="1" t="s">
        <v>30</v>
      </c>
      <c r="E45" s="1" t="s">
        <v>28</v>
      </c>
      <c r="F45" s="3" t="s">
        <v>240</v>
      </c>
      <c r="G45" s="1" t="s">
        <v>30</v>
      </c>
      <c r="H45" s="3" t="s">
        <v>57</v>
      </c>
      <c r="I45" s="3" t="s">
        <v>241</v>
      </c>
      <c r="J45" s="1" t="s">
        <v>30</v>
      </c>
      <c r="K45" s="9" t="s">
        <v>59</v>
      </c>
      <c r="L45" s="4" t="s">
        <v>60</v>
      </c>
      <c r="M45" s="2" t="s">
        <v>242</v>
      </c>
    </row>
    <row r="46" spans="1:13">
      <c r="A46" s="1">
        <f t="shared" si="0"/>
        <v>42</v>
      </c>
      <c r="B46" s="3" t="s">
        <v>117</v>
      </c>
      <c r="C46" s="3" t="s">
        <v>243</v>
      </c>
      <c r="D46" s="1" t="s">
        <v>30</v>
      </c>
      <c r="E46" s="1" t="s">
        <v>28</v>
      </c>
      <c r="F46" s="3" t="s">
        <v>244</v>
      </c>
      <c r="G46" s="1" t="s">
        <v>30</v>
      </c>
      <c r="H46" s="3" t="s">
        <v>236</v>
      </c>
      <c r="I46" s="3" t="s">
        <v>245</v>
      </c>
      <c r="J46" s="1" t="s">
        <v>30</v>
      </c>
      <c r="K46" s="9" t="s">
        <v>59</v>
      </c>
      <c r="L46" s="4" t="s">
        <v>60</v>
      </c>
      <c r="M46" s="2" t="s">
        <v>246</v>
      </c>
    </row>
    <row r="47" spans="1:13" ht="23.1">
      <c r="A47" s="1">
        <f t="shared" si="0"/>
        <v>43</v>
      </c>
      <c r="B47" s="3" t="s">
        <v>117</v>
      </c>
      <c r="C47" s="3" t="s">
        <v>247</v>
      </c>
      <c r="D47" s="1" t="s">
        <v>30</v>
      </c>
      <c r="E47" s="1" t="s">
        <v>28</v>
      </c>
      <c r="F47" s="3" t="s">
        <v>248</v>
      </c>
      <c r="G47" s="1" t="s">
        <v>30</v>
      </c>
      <c r="H47" s="3" t="s">
        <v>249</v>
      </c>
      <c r="I47" s="3" t="s">
        <v>250</v>
      </c>
      <c r="J47" s="1" t="s">
        <v>30</v>
      </c>
      <c r="K47" s="3" t="s">
        <v>251</v>
      </c>
      <c r="L47" s="4" t="s">
        <v>74</v>
      </c>
      <c r="M47" s="2" t="s">
        <v>252</v>
      </c>
    </row>
    <row r="48" spans="1:13">
      <c r="A48" s="1">
        <f t="shared" si="0"/>
        <v>44</v>
      </c>
      <c r="B48" s="3" t="s">
        <v>117</v>
      </c>
      <c r="C48" s="3" t="s">
        <v>253</v>
      </c>
      <c r="D48" s="1" t="s">
        <v>30</v>
      </c>
      <c r="E48" s="1" t="s">
        <v>28</v>
      </c>
      <c r="F48" s="3" t="s">
        <v>254</v>
      </c>
      <c r="G48" s="1" t="s">
        <v>30</v>
      </c>
      <c r="H48" s="3" t="s">
        <v>183</v>
      </c>
      <c r="I48" s="3" t="s">
        <v>253</v>
      </c>
      <c r="J48" s="1" t="s">
        <v>30</v>
      </c>
      <c r="K48" s="3" t="s">
        <v>255</v>
      </c>
      <c r="L48" s="4" t="s">
        <v>41</v>
      </c>
      <c r="M48" s="2" t="s">
        <v>256</v>
      </c>
    </row>
    <row r="49" spans="1:13">
      <c r="A49" s="1">
        <f t="shared" si="0"/>
        <v>45</v>
      </c>
      <c r="B49" s="3" t="s">
        <v>117</v>
      </c>
      <c r="C49" s="3" t="s">
        <v>257</v>
      </c>
      <c r="D49" s="1" t="s">
        <v>30</v>
      </c>
      <c r="E49" s="1" t="s">
        <v>28</v>
      </c>
      <c r="F49" s="3" t="s">
        <v>258</v>
      </c>
      <c r="G49" s="1" t="s">
        <v>30</v>
      </c>
      <c r="H49" s="3" t="s">
        <v>259</v>
      </c>
      <c r="I49" s="3" t="s">
        <v>260</v>
      </c>
      <c r="J49" s="1" t="s">
        <v>30</v>
      </c>
      <c r="K49" s="3" t="s">
        <v>261</v>
      </c>
      <c r="L49" s="4" t="s">
        <v>41</v>
      </c>
      <c r="M49" s="2" t="s">
        <v>262</v>
      </c>
    </row>
    <row r="50" spans="1:13">
      <c r="A50" s="1">
        <f t="shared" si="0"/>
        <v>46</v>
      </c>
      <c r="B50" s="3" t="s">
        <v>117</v>
      </c>
      <c r="C50" s="3" t="s">
        <v>263</v>
      </c>
      <c r="D50" s="1" t="s">
        <v>21</v>
      </c>
      <c r="E50" s="1" t="s">
        <v>28</v>
      </c>
      <c r="F50" s="3" t="s">
        <v>22</v>
      </c>
      <c r="G50" s="1" t="s">
        <v>22</v>
      </c>
      <c r="H50" s="3" t="s">
        <v>23</v>
      </c>
      <c r="I50" s="3" t="s">
        <v>22</v>
      </c>
      <c r="J50" s="1" t="s">
        <v>22</v>
      </c>
      <c r="K50" s="3" t="s">
        <v>264</v>
      </c>
      <c r="L50" s="4" t="s">
        <v>25</v>
      </c>
      <c r="M50" s="2" t="s">
        <v>265</v>
      </c>
    </row>
    <row r="51" spans="1:13">
      <c r="A51" s="1">
        <f t="shared" si="0"/>
        <v>47</v>
      </c>
      <c r="B51" s="3" t="s">
        <v>117</v>
      </c>
      <c r="C51" s="3" t="s">
        <v>266</v>
      </c>
      <c r="D51" s="1" t="s">
        <v>21</v>
      </c>
      <c r="E51" s="1" t="s">
        <v>28</v>
      </c>
      <c r="F51" s="3" t="s">
        <v>22</v>
      </c>
      <c r="G51" s="1" t="s">
        <v>22</v>
      </c>
      <c r="H51" s="3" t="s">
        <v>267</v>
      </c>
      <c r="I51" s="3" t="s">
        <v>268</v>
      </c>
      <c r="J51" s="1" t="s">
        <v>21</v>
      </c>
      <c r="K51" s="3" t="s">
        <v>269</v>
      </c>
      <c r="L51" s="4" t="s">
        <v>41</v>
      </c>
      <c r="M51" s="2" t="s">
        <v>270</v>
      </c>
    </row>
    <row r="52" spans="1:13">
      <c r="A52" s="1">
        <f t="shared" si="0"/>
        <v>48</v>
      </c>
      <c r="B52" s="3" t="s">
        <v>117</v>
      </c>
      <c r="C52" s="3" t="s">
        <v>271</v>
      </c>
      <c r="D52" s="1" t="s">
        <v>63</v>
      </c>
      <c r="E52" s="1" t="s">
        <v>28</v>
      </c>
      <c r="F52" s="3" t="s">
        <v>22</v>
      </c>
      <c r="G52" s="1" t="s">
        <v>22</v>
      </c>
      <c r="H52" s="3" t="s">
        <v>267</v>
      </c>
      <c r="I52" s="3" t="s">
        <v>272</v>
      </c>
      <c r="J52" s="1" t="s">
        <v>63</v>
      </c>
      <c r="K52" s="3" t="s">
        <v>273</v>
      </c>
      <c r="L52" s="4" t="s">
        <v>41</v>
      </c>
      <c r="M52" s="2" t="s">
        <v>270</v>
      </c>
    </row>
    <row r="53" spans="1:13" ht="23.1">
      <c r="A53" s="1">
        <f t="shared" si="0"/>
        <v>49</v>
      </c>
      <c r="B53" s="3" t="s">
        <v>274</v>
      </c>
      <c r="C53" s="3" t="s">
        <v>275</v>
      </c>
      <c r="D53" s="1" t="s">
        <v>21</v>
      </c>
      <c r="E53" s="1" t="s">
        <v>22</v>
      </c>
      <c r="F53" s="3" t="s">
        <v>22</v>
      </c>
      <c r="G53" s="1" t="s">
        <v>22</v>
      </c>
      <c r="H53" s="3" t="s">
        <v>23</v>
      </c>
      <c r="I53" s="3" t="s">
        <v>22</v>
      </c>
      <c r="J53" s="1" t="s">
        <v>22</v>
      </c>
      <c r="K53" s="9" t="s">
        <v>24</v>
      </c>
      <c r="L53" s="4" t="s">
        <v>25</v>
      </c>
      <c r="M53" s="2" t="s">
        <v>119</v>
      </c>
    </row>
    <row r="54" spans="1:13" ht="34.5">
      <c r="A54" s="1">
        <f t="shared" si="0"/>
        <v>50</v>
      </c>
      <c r="B54" s="3" t="s">
        <v>274</v>
      </c>
      <c r="C54" s="3" t="s">
        <v>276</v>
      </c>
      <c r="D54" s="1" t="s">
        <v>30</v>
      </c>
      <c r="E54" s="1" t="s">
        <v>132</v>
      </c>
      <c r="F54" s="3" t="s">
        <v>277</v>
      </c>
      <c r="G54" s="1" t="s">
        <v>30</v>
      </c>
      <c r="H54" s="3" t="s">
        <v>31</v>
      </c>
      <c r="I54" s="3" t="s">
        <v>278</v>
      </c>
      <c r="J54" s="1" t="s">
        <v>30</v>
      </c>
      <c r="K54" s="3" t="s">
        <v>279</v>
      </c>
      <c r="L54" s="4" t="s">
        <v>41</v>
      </c>
      <c r="M54" s="2" t="s">
        <v>280</v>
      </c>
    </row>
    <row r="55" spans="1:13">
      <c r="A55" s="1">
        <f t="shared" si="0"/>
        <v>51</v>
      </c>
      <c r="B55" s="3" t="s">
        <v>274</v>
      </c>
      <c r="C55" s="3" t="s">
        <v>43</v>
      </c>
      <c r="D55" s="1" t="s">
        <v>30</v>
      </c>
      <c r="E55" s="1" t="s">
        <v>132</v>
      </c>
      <c r="F55" s="3" t="s">
        <v>281</v>
      </c>
      <c r="G55" s="1" t="s">
        <v>30</v>
      </c>
      <c r="H55" s="3" t="s">
        <v>79</v>
      </c>
      <c r="I55" s="3" t="s">
        <v>282</v>
      </c>
      <c r="J55" s="1" t="s">
        <v>30</v>
      </c>
      <c r="K55" s="3" t="s">
        <v>283</v>
      </c>
      <c r="L55" s="4" t="s">
        <v>41</v>
      </c>
      <c r="M55" s="2" t="s">
        <v>86</v>
      </c>
    </row>
    <row r="56" spans="1:13">
      <c r="A56" s="1">
        <f t="shared" si="0"/>
        <v>52</v>
      </c>
      <c r="B56" s="3" t="s">
        <v>274</v>
      </c>
      <c r="C56" s="3" t="s">
        <v>50</v>
      </c>
      <c r="D56" s="1" t="s">
        <v>30</v>
      </c>
      <c r="E56" s="1" t="s">
        <v>132</v>
      </c>
      <c r="F56" s="3" t="s">
        <v>284</v>
      </c>
      <c r="G56" s="1" t="s">
        <v>30</v>
      </c>
      <c r="H56" s="3" t="s">
        <v>79</v>
      </c>
      <c r="I56" s="3" t="s">
        <v>285</v>
      </c>
      <c r="J56" s="1" t="s">
        <v>30</v>
      </c>
      <c r="K56" s="3" t="s">
        <v>286</v>
      </c>
      <c r="L56" s="4" t="s">
        <v>41</v>
      </c>
      <c r="M56" s="2" t="s">
        <v>86</v>
      </c>
    </row>
    <row r="57" spans="1:13">
      <c r="A57" s="1">
        <f t="shared" si="0"/>
        <v>53</v>
      </c>
      <c r="B57" s="3" t="s">
        <v>274</v>
      </c>
      <c r="C57" s="3" t="s">
        <v>287</v>
      </c>
      <c r="D57" s="1" t="s">
        <v>30</v>
      </c>
      <c r="E57" s="1" t="s">
        <v>28</v>
      </c>
      <c r="F57" s="3" t="s">
        <v>288</v>
      </c>
      <c r="G57" s="1" t="s">
        <v>30</v>
      </c>
      <c r="H57" s="3" t="s">
        <v>31</v>
      </c>
      <c r="I57" s="3" t="s">
        <v>289</v>
      </c>
      <c r="J57" s="1" t="s">
        <v>30</v>
      </c>
      <c r="K57" s="3" t="s">
        <v>290</v>
      </c>
      <c r="L57" s="4" t="s">
        <v>41</v>
      </c>
      <c r="M57" s="2" t="s">
        <v>291</v>
      </c>
    </row>
    <row r="58" spans="1:13" ht="34.5">
      <c r="A58" s="1">
        <f t="shared" si="0"/>
        <v>54</v>
      </c>
      <c r="B58" s="3" t="s">
        <v>274</v>
      </c>
      <c r="C58" s="3" t="s">
        <v>292</v>
      </c>
      <c r="D58" s="1" t="s">
        <v>30</v>
      </c>
      <c r="E58" s="1" t="s">
        <v>28</v>
      </c>
      <c r="F58" s="3" t="s">
        <v>22</v>
      </c>
      <c r="G58" s="1" t="s">
        <v>22</v>
      </c>
      <c r="H58" s="3" t="s">
        <v>23</v>
      </c>
      <c r="I58" s="3" t="s">
        <v>22</v>
      </c>
      <c r="J58" s="1" t="s">
        <v>22</v>
      </c>
      <c r="K58" s="9" t="s">
        <v>293</v>
      </c>
      <c r="L58" s="4" t="s">
        <v>232</v>
      </c>
      <c r="M58" s="2" t="s">
        <v>294</v>
      </c>
    </row>
    <row r="59" spans="1:13">
      <c r="A59" s="1">
        <f t="shared" si="0"/>
        <v>55</v>
      </c>
      <c r="B59" s="3" t="s">
        <v>274</v>
      </c>
      <c r="C59" s="3" t="s">
        <v>295</v>
      </c>
      <c r="D59" s="1" t="s">
        <v>30</v>
      </c>
      <c r="E59" s="1" t="s">
        <v>28</v>
      </c>
      <c r="F59" s="3" t="s">
        <v>296</v>
      </c>
      <c r="G59" s="1" t="s">
        <v>30</v>
      </c>
      <c r="H59" s="3" t="s">
        <v>31</v>
      </c>
      <c r="I59" s="3" t="s">
        <v>297</v>
      </c>
      <c r="J59" s="1" t="s">
        <v>30</v>
      </c>
      <c r="K59" s="3" t="s">
        <v>298</v>
      </c>
      <c r="L59" s="4" t="s">
        <v>41</v>
      </c>
      <c r="M59" s="2" t="s">
        <v>299</v>
      </c>
    </row>
    <row r="60" spans="1:13" ht="23.1">
      <c r="A60" s="1">
        <f t="shared" si="0"/>
        <v>56</v>
      </c>
      <c r="B60" s="3" t="s">
        <v>274</v>
      </c>
      <c r="C60" s="3" t="s">
        <v>300</v>
      </c>
      <c r="D60" s="1" t="s">
        <v>30</v>
      </c>
      <c r="E60" s="1" t="s">
        <v>28</v>
      </c>
      <c r="F60" s="3" t="s">
        <v>301</v>
      </c>
      <c r="G60" s="1" t="s">
        <v>30</v>
      </c>
      <c r="H60" s="3" t="s">
        <v>201</v>
      </c>
      <c r="I60" s="3" t="s">
        <v>301</v>
      </c>
      <c r="J60" s="1" t="s">
        <v>30</v>
      </c>
      <c r="K60" s="9" t="s">
        <v>59</v>
      </c>
      <c r="L60" s="4" t="s">
        <v>60</v>
      </c>
      <c r="M60" s="2" t="s">
        <v>302</v>
      </c>
    </row>
    <row r="61" spans="1:13">
      <c r="A61" s="1">
        <f t="shared" si="0"/>
        <v>57</v>
      </c>
      <c r="B61" s="3" t="s">
        <v>274</v>
      </c>
      <c r="C61" s="3" t="s">
        <v>303</v>
      </c>
      <c r="D61" s="1" t="s">
        <v>30</v>
      </c>
      <c r="E61" s="1" t="s">
        <v>28</v>
      </c>
      <c r="F61" s="3" t="s">
        <v>304</v>
      </c>
      <c r="G61" s="1" t="s">
        <v>30</v>
      </c>
      <c r="H61" s="3" t="s">
        <v>236</v>
      </c>
      <c r="I61" s="3" t="s">
        <v>305</v>
      </c>
      <c r="J61" s="1" t="s">
        <v>30</v>
      </c>
      <c r="K61" s="9" t="s">
        <v>59</v>
      </c>
      <c r="L61" s="4" t="s">
        <v>60</v>
      </c>
      <c r="M61" s="2" t="s">
        <v>246</v>
      </c>
    </row>
    <row r="62" spans="1:13">
      <c r="A62" s="1">
        <f t="shared" si="0"/>
        <v>58</v>
      </c>
      <c r="B62" s="3" t="s">
        <v>274</v>
      </c>
      <c r="C62" s="3" t="s">
        <v>306</v>
      </c>
      <c r="D62" s="1" t="s">
        <v>30</v>
      </c>
      <c r="E62" s="1" t="s">
        <v>28</v>
      </c>
      <c r="F62" s="3" t="s">
        <v>307</v>
      </c>
      <c r="G62" s="1" t="s">
        <v>30</v>
      </c>
      <c r="H62" s="3" t="s">
        <v>79</v>
      </c>
      <c r="I62" s="3" t="s">
        <v>307</v>
      </c>
      <c r="J62" s="1" t="s">
        <v>30</v>
      </c>
      <c r="K62" s="3" t="s">
        <v>308</v>
      </c>
      <c r="L62" s="4" t="s">
        <v>41</v>
      </c>
      <c r="M62" s="2"/>
    </row>
    <row r="63" spans="1:13">
      <c r="A63" s="1">
        <f t="shared" si="0"/>
        <v>59</v>
      </c>
      <c r="B63" s="3" t="s">
        <v>274</v>
      </c>
      <c r="C63" s="3" t="s">
        <v>309</v>
      </c>
      <c r="D63" s="1" t="s">
        <v>30</v>
      </c>
      <c r="E63" s="1" t="s">
        <v>28</v>
      </c>
      <c r="F63" s="3" t="s">
        <v>310</v>
      </c>
      <c r="G63" s="1" t="s">
        <v>30</v>
      </c>
      <c r="H63" s="3" t="s">
        <v>57</v>
      </c>
      <c r="I63" s="3" t="s">
        <v>310</v>
      </c>
      <c r="J63" s="1" t="s">
        <v>30</v>
      </c>
      <c r="K63" s="3" t="s">
        <v>311</v>
      </c>
      <c r="L63" s="4" t="s">
        <v>41</v>
      </c>
      <c r="M63" s="2" t="s">
        <v>242</v>
      </c>
    </row>
    <row r="64" spans="1:13" ht="23.1">
      <c r="A64" s="1">
        <f t="shared" si="0"/>
        <v>60</v>
      </c>
      <c r="B64" s="3" t="s">
        <v>312</v>
      </c>
      <c r="C64" s="3" t="s">
        <v>140</v>
      </c>
      <c r="D64" s="1" t="s">
        <v>21</v>
      </c>
      <c r="E64" s="1" t="s">
        <v>22</v>
      </c>
      <c r="F64" s="3" t="s">
        <v>22</v>
      </c>
      <c r="G64" s="1" t="s">
        <v>22</v>
      </c>
      <c r="H64" s="3" t="s">
        <v>23</v>
      </c>
      <c r="I64" s="3" t="s">
        <v>22</v>
      </c>
      <c r="J64" s="1" t="s">
        <v>22</v>
      </c>
      <c r="K64" s="9" t="s">
        <v>24</v>
      </c>
      <c r="L64" s="4" t="s">
        <v>25</v>
      </c>
      <c r="M64" s="2" t="s">
        <v>119</v>
      </c>
    </row>
    <row r="65" spans="1:13" ht="57.6">
      <c r="A65" s="1">
        <f t="shared" si="0"/>
        <v>61</v>
      </c>
      <c r="B65" s="3" t="s">
        <v>312</v>
      </c>
      <c r="C65" s="3" t="s">
        <v>313</v>
      </c>
      <c r="D65" s="1" t="s">
        <v>30</v>
      </c>
      <c r="E65" s="1" t="s">
        <v>314</v>
      </c>
      <c r="F65" s="3" t="s">
        <v>315</v>
      </c>
      <c r="G65" s="1" t="s">
        <v>30</v>
      </c>
      <c r="H65" s="3" t="s">
        <v>183</v>
      </c>
      <c r="I65" s="3" t="s">
        <v>316</v>
      </c>
      <c r="J65" s="1" t="s">
        <v>30</v>
      </c>
      <c r="K65" s="9" t="s">
        <v>59</v>
      </c>
      <c r="L65" s="4" t="s">
        <v>60</v>
      </c>
      <c r="M65" s="2" t="s">
        <v>317</v>
      </c>
    </row>
    <row r="66" spans="1:13" ht="34.5">
      <c r="A66" s="1">
        <f t="shared" si="0"/>
        <v>62</v>
      </c>
      <c r="B66" s="3" t="s">
        <v>312</v>
      </c>
      <c r="C66" s="3" t="s">
        <v>318</v>
      </c>
      <c r="D66" s="1" t="s">
        <v>30</v>
      </c>
      <c r="E66" s="1" t="s">
        <v>141</v>
      </c>
      <c r="F66" s="3" t="s">
        <v>142</v>
      </c>
      <c r="G66" s="1" t="s">
        <v>30</v>
      </c>
      <c r="H66" s="3" t="s">
        <v>31</v>
      </c>
      <c r="I66" s="3" t="s">
        <v>143</v>
      </c>
      <c r="J66" s="1" t="s">
        <v>30</v>
      </c>
      <c r="K66" s="3" t="s">
        <v>319</v>
      </c>
      <c r="L66" s="4" t="s">
        <v>74</v>
      </c>
      <c r="M66" s="2" t="s">
        <v>320</v>
      </c>
    </row>
    <row r="67" spans="1:13" ht="23.1">
      <c r="A67" s="1">
        <f t="shared" si="0"/>
        <v>63</v>
      </c>
      <c r="B67" s="3" t="s">
        <v>312</v>
      </c>
      <c r="C67" s="3" t="s">
        <v>321</v>
      </c>
      <c r="D67" s="1" t="s">
        <v>30</v>
      </c>
      <c r="E67" s="1" t="s">
        <v>141</v>
      </c>
      <c r="F67" s="3" t="s">
        <v>142</v>
      </c>
      <c r="G67" s="1" t="s">
        <v>30</v>
      </c>
      <c r="H67" s="3" t="s">
        <v>31</v>
      </c>
      <c r="I67" s="3" t="s">
        <v>143</v>
      </c>
      <c r="J67" s="1" t="s">
        <v>30</v>
      </c>
      <c r="K67" s="3" t="s">
        <v>319</v>
      </c>
      <c r="L67" s="4" t="s">
        <v>41</v>
      </c>
      <c r="M67" s="2" t="s">
        <v>322</v>
      </c>
    </row>
    <row r="68" spans="1:13">
      <c r="A68" s="1">
        <f t="shared" si="0"/>
        <v>64</v>
      </c>
      <c r="B68" s="3" t="s">
        <v>312</v>
      </c>
      <c r="C68" s="3" t="s">
        <v>323</v>
      </c>
      <c r="D68" s="1" t="s">
        <v>30</v>
      </c>
      <c r="E68" s="1" t="s">
        <v>28</v>
      </c>
      <c r="F68" s="3" t="s">
        <v>324</v>
      </c>
      <c r="G68" s="1" t="s">
        <v>30</v>
      </c>
      <c r="H68" s="3" t="s">
        <v>57</v>
      </c>
      <c r="I68" s="3" t="s">
        <v>324</v>
      </c>
      <c r="J68" s="1" t="s">
        <v>30</v>
      </c>
      <c r="K68" s="9" t="s">
        <v>59</v>
      </c>
      <c r="L68" s="4" t="s">
        <v>60</v>
      </c>
      <c r="M68" s="2" t="s">
        <v>325</v>
      </c>
    </row>
    <row r="69" spans="1:13">
      <c r="A69" s="1">
        <f t="shared" si="0"/>
        <v>65</v>
      </c>
      <c r="B69" s="3" t="s">
        <v>312</v>
      </c>
      <c r="C69" s="3" t="s">
        <v>326</v>
      </c>
      <c r="D69" s="1" t="s">
        <v>30</v>
      </c>
      <c r="E69" s="1" t="s">
        <v>28</v>
      </c>
      <c r="F69" s="3" t="s">
        <v>327</v>
      </c>
      <c r="G69" s="1" t="s">
        <v>30</v>
      </c>
      <c r="H69" s="3" t="s">
        <v>328</v>
      </c>
      <c r="I69" s="3" t="s">
        <v>326</v>
      </c>
      <c r="J69" s="1" t="s">
        <v>30</v>
      </c>
      <c r="K69" s="9" t="s">
        <v>59</v>
      </c>
      <c r="L69" s="4" t="s">
        <v>60</v>
      </c>
      <c r="M69" s="2" t="s">
        <v>329</v>
      </c>
    </row>
    <row r="70" spans="1:13" ht="23.1">
      <c r="A70" s="1">
        <f t="shared" si="0"/>
        <v>66</v>
      </c>
      <c r="B70" s="3" t="s">
        <v>330</v>
      </c>
      <c r="C70" s="3" t="s">
        <v>145</v>
      </c>
      <c r="D70" s="1" t="s">
        <v>21</v>
      </c>
      <c r="E70" s="1" t="s">
        <v>22</v>
      </c>
      <c r="F70" s="3" t="s">
        <v>22</v>
      </c>
      <c r="G70" s="1" t="s">
        <v>22</v>
      </c>
      <c r="H70" s="3" t="s">
        <v>23</v>
      </c>
      <c r="I70" s="3" t="s">
        <v>22</v>
      </c>
      <c r="J70" s="1" t="s">
        <v>22</v>
      </c>
      <c r="K70" s="9" t="s">
        <v>24</v>
      </c>
      <c r="L70" s="4" t="s">
        <v>25</v>
      </c>
      <c r="M70" s="2" t="s">
        <v>119</v>
      </c>
    </row>
    <row r="71" spans="1:13">
      <c r="A71" s="1">
        <f t="shared" ref="A71:A133" si="1">A70+1</f>
        <v>67</v>
      </c>
      <c r="B71" s="3" t="s">
        <v>330</v>
      </c>
      <c r="C71" s="3" t="s">
        <v>20</v>
      </c>
      <c r="D71" s="1" t="s">
        <v>21</v>
      </c>
      <c r="E71" s="1" t="s">
        <v>146</v>
      </c>
      <c r="F71" s="3" t="s">
        <v>29</v>
      </c>
      <c r="G71" s="1" t="s">
        <v>30</v>
      </c>
      <c r="H71" s="3" t="s">
        <v>31</v>
      </c>
      <c r="I71" s="3" t="s">
        <v>128</v>
      </c>
      <c r="J71" s="1" t="s">
        <v>21</v>
      </c>
      <c r="K71" s="9" t="s">
        <v>331</v>
      </c>
      <c r="L71" s="4" t="s">
        <v>25</v>
      </c>
      <c r="M71" s="2" t="s">
        <v>332</v>
      </c>
    </row>
    <row r="72" spans="1:13">
      <c r="A72" s="1">
        <f t="shared" si="1"/>
        <v>68</v>
      </c>
      <c r="B72" s="3" t="s">
        <v>330</v>
      </c>
      <c r="C72" s="3" t="s">
        <v>333</v>
      </c>
      <c r="D72" s="1" t="s">
        <v>30</v>
      </c>
      <c r="E72" s="1" t="s">
        <v>334</v>
      </c>
      <c r="F72" s="3" t="s">
        <v>147</v>
      </c>
      <c r="G72" s="1" t="s">
        <v>30</v>
      </c>
      <c r="H72" s="3" t="s">
        <v>31</v>
      </c>
      <c r="I72" s="3" t="s">
        <v>335</v>
      </c>
      <c r="J72" s="1" t="s">
        <v>30</v>
      </c>
      <c r="K72" s="3" t="s">
        <v>336</v>
      </c>
      <c r="L72" s="4" t="s">
        <v>41</v>
      </c>
      <c r="M72" s="2" t="s">
        <v>337</v>
      </c>
    </row>
    <row r="73" spans="1:13">
      <c r="A73" s="1">
        <f t="shared" si="1"/>
        <v>69</v>
      </c>
      <c r="B73" s="3" t="s">
        <v>330</v>
      </c>
      <c r="C73" s="3" t="s">
        <v>338</v>
      </c>
      <c r="D73" s="1" t="s">
        <v>30</v>
      </c>
      <c r="E73" s="1" t="s">
        <v>339</v>
      </c>
      <c r="F73" s="3" t="s">
        <v>340</v>
      </c>
      <c r="G73" s="1" t="s">
        <v>30</v>
      </c>
      <c r="H73" s="3" t="s">
        <v>31</v>
      </c>
      <c r="I73" s="3" t="s">
        <v>341</v>
      </c>
      <c r="J73" s="1" t="s">
        <v>30</v>
      </c>
      <c r="K73" s="3" t="s">
        <v>342</v>
      </c>
      <c r="L73" s="4" t="s">
        <v>41</v>
      </c>
      <c r="M73" s="2" t="s">
        <v>343</v>
      </c>
    </row>
    <row r="74" spans="1:13">
      <c r="A74" s="1">
        <f t="shared" si="1"/>
        <v>70</v>
      </c>
      <c r="B74" s="3" t="s">
        <v>330</v>
      </c>
      <c r="C74" s="3" t="s">
        <v>344</v>
      </c>
      <c r="D74" s="1" t="s">
        <v>30</v>
      </c>
      <c r="E74" s="1" t="s">
        <v>345</v>
      </c>
      <c r="F74" s="3" t="s">
        <v>346</v>
      </c>
      <c r="G74" s="1" t="s">
        <v>30</v>
      </c>
      <c r="H74" s="3" t="s">
        <v>31</v>
      </c>
      <c r="I74" s="3" t="s">
        <v>347</v>
      </c>
      <c r="J74" s="1" t="s">
        <v>30</v>
      </c>
      <c r="K74" s="3" t="s">
        <v>348</v>
      </c>
      <c r="L74" s="4" t="s">
        <v>41</v>
      </c>
      <c r="M74" s="2" t="s">
        <v>337</v>
      </c>
    </row>
    <row r="75" spans="1:13" ht="34.5">
      <c r="A75" s="1">
        <f t="shared" si="1"/>
        <v>71</v>
      </c>
      <c r="B75" s="3" t="s">
        <v>330</v>
      </c>
      <c r="C75" s="3" t="s">
        <v>349</v>
      </c>
      <c r="D75" s="1" t="s">
        <v>30</v>
      </c>
      <c r="E75" s="1" t="s">
        <v>345</v>
      </c>
      <c r="F75" s="3" t="s">
        <v>350</v>
      </c>
      <c r="G75" s="1" t="s">
        <v>30</v>
      </c>
      <c r="H75" s="3" t="s">
        <v>31</v>
      </c>
      <c r="I75" s="3" t="s">
        <v>351</v>
      </c>
      <c r="J75" s="1" t="s">
        <v>30</v>
      </c>
      <c r="K75" s="3" t="s">
        <v>352</v>
      </c>
      <c r="L75" s="4" t="s">
        <v>232</v>
      </c>
      <c r="M75" s="2" t="s">
        <v>353</v>
      </c>
    </row>
    <row r="76" spans="1:13">
      <c r="A76" s="1">
        <f t="shared" si="1"/>
        <v>72</v>
      </c>
      <c r="B76" s="3" t="s">
        <v>330</v>
      </c>
      <c r="C76" s="3" t="s">
        <v>354</v>
      </c>
      <c r="D76" s="1" t="s">
        <v>30</v>
      </c>
      <c r="E76" s="1" t="s">
        <v>355</v>
      </c>
      <c r="F76" s="3" t="s">
        <v>356</v>
      </c>
      <c r="G76" s="1" t="s">
        <v>30</v>
      </c>
      <c r="H76" s="3" t="s">
        <v>328</v>
      </c>
      <c r="I76" s="3" t="s">
        <v>354</v>
      </c>
      <c r="J76" s="1" t="s">
        <v>30</v>
      </c>
      <c r="K76" s="9" t="s">
        <v>59</v>
      </c>
      <c r="L76" s="4" t="s">
        <v>60</v>
      </c>
      <c r="M76" s="2" t="s">
        <v>329</v>
      </c>
    </row>
    <row r="77" spans="1:13">
      <c r="A77" s="1">
        <f t="shared" si="1"/>
        <v>73</v>
      </c>
      <c r="B77" s="3" t="s">
        <v>330</v>
      </c>
      <c r="C77" s="3" t="s">
        <v>357</v>
      </c>
      <c r="D77" s="1" t="s">
        <v>30</v>
      </c>
      <c r="E77" s="1" t="s">
        <v>101</v>
      </c>
      <c r="F77" s="3" t="s">
        <v>102</v>
      </c>
      <c r="G77" s="1" t="s">
        <v>30</v>
      </c>
      <c r="H77" s="3" t="s">
        <v>79</v>
      </c>
      <c r="I77" s="3" t="s">
        <v>102</v>
      </c>
      <c r="J77" s="1" t="s">
        <v>30</v>
      </c>
      <c r="K77" s="3" t="s">
        <v>103</v>
      </c>
      <c r="L77" s="4" t="s">
        <v>41</v>
      </c>
      <c r="M77" s="2" t="s">
        <v>86</v>
      </c>
    </row>
    <row r="78" spans="1:13">
      <c r="A78" s="1">
        <f t="shared" si="1"/>
        <v>74</v>
      </c>
      <c r="B78" s="3" t="s">
        <v>330</v>
      </c>
      <c r="C78" s="3" t="s">
        <v>96</v>
      </c>
      <c r="D78" s="1" t="s">
        <v>30</v>
      </c>
      <c r="E78" s="1" t="s">
        <v>97</v>
      </c>
      <c r="F78" s="3" t="s">
        <v>98</v>
      </c>
      <c r="G78" s="1" t="s">
        <v>30</v>
      </c>
      <c r="H78" s="3" t="s">
        <v>57</v>
      </c>
      <c r="I78" s="3" t="s">
        <v>98</v>
      </c>
      <c r="J78" s="1" t="s">
        <v>30</v>
      </c>
      <c r="K78" s="9" t="s">
        <v>59</v>
      </c>
      <c r="L78" s="4" t="s">
        <v>60</v>
      </c>
      <c r="M78" s="2" t="s">
        <v>358</v>
      </c>
    </row>
    <row r="79" spans="1:13">
      <c r="A79" s="1">
        <f t="shared" si="1"/>
        <v>75</v>
      </c>
      <c r="B79" s="3" t="s">
        <v>330</v>
      </c>
      <c r="C79" s="3" t="s">
        <v>359</v>
      </c>
      <c r="D79" s="1" t="s">
        <v>30</v>
      </c>
      <c r="E79" s="1" t="s">
        <v>339</v>
      </c>
      <c r="F79" s="3" t="s">
        <v>360</v>
      </c>
      <c r="G79" s="1" t="s">
        <v>30</v>
      </c>
      <c r="H79" s="3" t="s">
        <v>57</v>
      </c>
      <c r="I79" s="3" t="s">
        <v>360</v>
      </c>
      <c r="J79" s="1" t="s">
        <v>30</v>
      </c>
      <c r="K79" s="3" t="s">
        <v>342</v>
      </c>
      <c r="L79" s="4" t="s">
        <v>41</v>
      </c>
      <c r="M79" s="2" t="s">
        <v>361</v>
      </c>
    </row>
    <row r="80" spans="1:13">
      <c r="A80" s="1">
        <f t="shared" si="1"/>
        <v>76</v>
      </c>
      <c r="B80" s="3" t="s">
        <v>330</v>
      </c>
      <c r="C80" s="3" t="s">
        <v>362</v>
      </c>
      <c r="D80" s="1" t="s">
        <v>30</v>
      </c>
      <c r="E80" s="1" t="s">
        <v>28</v>
      </c>
      <c r="F80" s="3" t="s">
        <v>363</v>
      </c>
      <c r="G80" s="1" t="s">
        <v>30</v>
      </c>
      <c r="H80" s="3" t="s">
        <v>57</v>
      </c>
      <c r="I80" s="3" t="s">
        <v>363</v>
      </c>
      <c r="J80" s="1" t="s">
        <v>30</v>
      </c>
      <c r="K80" s="9" t="s">
        <v>59</v>
      </c>
      <c r="L80" s="4" t="s">
        <v>60</v>
      </c>
      <c r="M80" s="2" t="s">
        <v>242</v>
      </c>
    </row>
    <row r="81" spans="1:13">
      <c r="A81" s="1">
        <f t="shared" si="1"/>
        <v>77</v>
      </c>
      <c r="B81" s="3" t="s">
        <v>330</v>
      </c>
      <c r="C81" s="3" t="s">
        <v>364</v>
      </c>
      <c r="D81" s="1" t="s">
        <v>30</v>
      </c>
      <c r="E81" s="1" t="s">
        <v>28</v>
      </c>
      <c r="F81" s="3" t="s">
        <v>365</v>
      </c>
      <c r="G81" s="1" t="s">
        <v>30</v>
      </c>
      <c r="H81" s="3" t="s">
        <v>328</v>
      </c>
      <c r="I81" s="3" t="s">
        <v>364</v>
      </c>
      <c r="J81" s="1" t="s">
        <v>30</v>
      </c>
      <c r="K81" s="9" t="s">
        <v>59</v>
      </c>
      <c r="L81" s="4" t="s">
        <v>60</v>
      </c>
      <c r="M81" s="2" t="s">
        <v>329</v>
      </c>
    </row>
    <row r="82" spans="1:13">
      <c r="A82" s="1">
        <f t="shared" si="1"/>
        <v>78</v>
      </c>
      <c r="B82" s="3" t="s">
        <v>330</v>
      </c>
      <c r="C82" s="3" t="s">
        <v>366</v>
      </c>
      <c r="D82" s="1" t="s">
        <v>30</v>
      </c>
      <c r="E82" s="1" t="s">
        <v>28</v>
      </c>
      <c r="F82" s="3" t="s">
        <v>367</v>
      </c>
      <c r="G82" s="1" t="s">
        <v>30</v>
      </c>
      <c r="H82" s="3" t="s">
        <v>328</v>
      </c>
      <c r="I82" s="3" t="s">
        <v>366</v>
      </c>
      <c r="J82" s="1" t="s">
        <v>30</v>
      </c>
      <c r="K82" s="9" t="s">
        <v>59</v>
      </c>
      <c r="L82" s="4" t="s">
        <v>60</v>
      </c>
      <c r="M82" s="2" t="s">
        <v>329</v>
      </c>
    </row>
    <row r="83" spans="1:13">
      <c r="A83" s="1">
        <f t="shared" si="1"/>
        <v>79</v>
      </c>
      <c r="B83" s="3" t="s">
        <v>330</v>
      </c>
      <c r="C83" s="3" t="s">
        <v>368</v>
      </c>
      <c r="D83" s="1" t="s">
        <v>30</v>
      </c>
      <c r="E83" s="1" t="s">
        <v>28</v>
      </c>
      <c r="F83" s="3" t="s">
        <v>369</v>
      </c>
      <c r="G83" s="1" t="s">
        <v>30</v>
      </c>
      <c r="H83" s="3" t="s">
        <v>57</v>
      </c>
      <c r="I83" s="3" t="s">
        <v>369</v>
      </c>
      <c r="J83" s="1" t="s">
        <v>30</v>
      </c>
      <c r="K83" s="9" t="s">
        <v>59</v>
      </c>
      <c r="L83" s="4" t="s">
        <v>60</v>
      </c>
      <c r="M83" s="2" t="s">
        <v>370</v>
      </c>
    </row>
    <row r="84" spans="1:13" ht="23.1">
      <c r="A84" s="1">
        <f t="shared" si="1"/>
        <v>80</v>
      </c>
      <c r="B84" s="3" t="s">
        <v>330</v>
      </c>
      <c r="C84" s="3" t="s">
        <v>371</v>
      </c>
      <c r="D84" s="1" t="s">
        <v>63</v>
      </c>
      <c r="E84" s="1" t="s">
        <v>28</v>
      </c>
      <c r="F84" s="3" t="s">
        <v>22</v>
      </c>
      <c r="G84" s="1" t="s">
        <v>22</v>
      </c>
      <c r="H84" s="3" t="s">
        <v>23</v>
      </c>
      <c r="I84" s="3" t="s">
        <v>22</v>
      </c>
      <c r="J84" s="1" t="s">
        <v>22</v>
      </c>
      <c r="K84" s="9" t="s">
        <v>24</v>
      </c>
      <c r="L84" s="4" t="s">
        <v>25</v>
      </c>
      <c r="M84" s="2" t="s">
        <v>372</v>
      </c>
    </row>
    <row r="85" spans="1:13" ht="23.1">
      <c r="A85" s="1">
        <f t="shared" si="1"/>
        <v>81</v>
      </c>
      <c r="B85" s="3" t="s">
        <v>330</v>
      </c>
      <c r="C85" s="3" t="s">
        <v>373</v>
      </c>
      <c r="D85" s="1" t="s">
        <v>63</v>
      </c>
      <c r="E85" s="1" t="s">
        <v>28</v>
      </c>
      <c r="F85" s="3" t="s">
        <v>22</v>
      </c>
      <c r="G85" s="1" t="s">
        <v>22</v>
      </c>
      <c r="H85" s="3" t="s">
        <v>23</v>
      </c>
      <c r="I85" s="3" t="s">
        <v>22</v>
      </c>
      <c r="J85" s="1" t="s">
        <v>22</v>
      </c>
      <c r="K85" s="9" t="s">
        <v>24</v>
      </c>
      <c r="L85" s="4" t="s">
        <v>25</v>
      </c>
      <c r="M85" s="2" t="s">
        <v>374</v>
      </c>
    </row>
    <row r="86" spans="1:13" ht="23.1">
      <c r="A86" s="1">
        <f t="shared" si="1"/>
        <v>82</v>
      </c>
      <c r="B86" s="3" t="s">
        <v>330</v>
      </c>
      <c r="C86" s="3" t="s">
        <v>375</v>
      </c>
      <c r="D86" s="1" t="s">
        <v>376</v>
      </c>
      <c r="E86" s="1" t="s">
        <v>28</v>
      </c>
      <c r="F86" s="3" t="s">
        <v>22</v>
      </c>
      <c r="G86" s="1" t="s">
        <v>22</v>
      </c>
      <c r="H86" s="3" t="s">
        <v>23</v>
      </c>
      <c r="I86" s="3" t="s">
        <v>22</v>
      </c>
      <c r="J86" s="1" t="s">
        <v>22</v>
      </c>
      <c r="K86" s="3" t="s">
        <v>264</v>
      </c>
      <c r="L86" s="4" t="s">
        <v>25</v>
      </c>
      <c r="M86" s="2" t="s">
        <v>377</v>
      </c>
    </row>
    <row r="87" spans="1:13" ht="23.1">
      <c r="A87" s="1">
        <f t="shared" si="1"/>
        <v>83</v>
      </c>
      <c r="B87" s="3" t="s">
        <v>378</v>
      </c>
      <c r="C87" s="3" t="s">
        <v>379</v>
      </c>
      <c r="D87" s="1" t="s">
        <v>21</v>
      </c>
      <c r="E87" s="1" t="s">
        <v>22</v>
      </c>
      <c r="F87" s="3" t="s">
        <v>22</v>
      </c>
      <c r="G87" s="1" t="s">
        <v>22</v>
      </c>
      <c r="H87" s="3" t="s">
        <v>23</v>
      </c>
      <c r="I87" s="3" t="s">
        <v>22</v>
      </c>
      <c r="J87" s="1" t="s">
        <v>22</v>
      </c>
      <c r="K87" s="9" t="s">
        <v>24</v>
      </c>
      <c r="L87" s="4" t="s">
        <v>25</v>
      </c>
      <c r="M87" s="2" t="s">
        <v>380</v>
      </c>
    </row>
    <row r="88" spans="1:13" ht="23.1">
      <c r="A88" s="1">
        <f t="shared" si="1"/>
        <v>84</v>
      </c>
      <c r="B88" s="3" t="s">
        <v>378</v>
      </c>
      <c r="C88" s="3" t="s">
        <v>118</v>
      </c>
      <c r="D88" s="1" t="s">
        <v>21</v>
      </c>
      <c r="E88" s="1" t="s">
        <v>381</v>
      </c>
      <c r="F88" s="3" t="s">
        <v>22</v>
      </c>
      <c r="G88" s="1" t="s">
        <v>22</v>
      </c>
      <c r="H88" s="3" t="s">
        <v>23</v>
      </c>
      <c r="I88" s="3" t="s">
        <v>22</v>
      </c>
      <c r="J88" s="1" t="s">
        <v>22</v>
      </c>
      <c r="K88" s="9" t="s">
        <v>331</v>
      </c>
      <c r="L88" s="4" t="s">
        <v>25</v>
      </c>
      <c r="M88" s="2" t="s">
        <v>382</v>
      </c>
    </row>
    <row r="89" spans="1:13">
      <c r="A89" s="1">
        <f t="shared" si="1"/>
        <v>85</v>
      </c>
      <c r="B89" s="3" t="s">
        <v>378</v>
      </c>
      <c r="C89" s="3" t="s">
        <v>20</v>
      </c>
      <c r="D89" s="1" t="s">
        <v>21</v>
      </c>
      <c r="E89" s="1" t="s">
        <v>127</v>
      </c>
      <c r="F89" s="3" t="s">
        <v>22</v>
      </c>
      <c r="G89" s="1" t="s">
        <v>22</v>
      </c>
      <c r="H89" s="3" t="s">
        <v>23</v>
      </c>
      <c r="I89" s="3" t="s">
        <v>22</v>
      </c>
      <c r="J89" s="1" t="s">
        <v>22</v>
      </c>
      <c r="K89" s="9" t="s">
        <v>331</v>
      </c>
      <c r="L89" s="4" t="s">
        <v>25</v>
      </c>
      <c r="M89" s="2" t="s">
        <v>383</v>
      </c>
    </row>
    <row r="90" spans="1:13">
      <c r="A90" s="1">
        <f t="shared" si="1"/>
        <v>86</v>
      </c>
      <c r="B90" s="3" t="s">
        <v>378</v>
      </c>
      <c r="C90" s="3" t="s">
        <v>150</v>
      </c>
      <c r="D90" s="1" t="s">
        <v>30</v>
      </c>
      <c r="E90" s="1" t="s">
        <v>151</v>
      </c>
      <c r="F90" s="3" t="s">
        <v>152</v>
      </c>
      <c r="G90" s="1" t="s">
        <v>30</v>
      </c>
      <c r="H90" s="3" t="s">
        <v>31</v>
      </c>
      <c r="I90" s="3" t="s">
        <v>153</v>
      </c>
      <c r="J90" s="1" t="s">
        <v>30</v>
      </c>
      <c r="K90" s="3" t="s">
        <v>154</v>
      </c>
      <c r="L90" s="4" t="s">
        <v>41</v>
      </c>
      <c r="M90" s="2" t="s">
        <v>384</v>
      </c>
    </row>
    <row r="91" spans="1:13">
      <c r="A91" s="1">
        <f t="shared" si="1"/>
        <v>87</v>
      </c>
      <c r="B91" s="3" t="s">
        <v>378</v>
      </c>
      <c r="C91" s="3" t="s">
        <v>385</v>
      </c>
      <c r="D91" s="1" t="s">
        <v>63</v>
      </c>
      <c r="E91" s="1" t="s">
        <v>157</v>
      </c>
      <c r="F91" s="3" t="s">
        <v>158</v>
      </c>
      <c r="G91" s="1" t="s">
        <v>63</v>
      </c>
      <c r="H91" s="3" t="s">
        <v>31</v>
      </c>
      <c r="I91" s="3" t="s">
        <v>159</v>
      </c>
      <c r="J91" s="1" t="s">
        <v>30</v>
      </c>
      <c r="K91" s="3" t="s">
        <v>160</v>
      </c>
      <c r="L91" s="4" t="s">
        <v>35</v>
      </c>
      <c r="M91" s="2" t="s">
        <v>386</v>
      </c>
    </row>
    <row r="92" spans="1:13">
      <c r="A92" s="1">
        <f t="shared" si="1"/>
        <v>88</v>
      </c>
      <c r="B92" s="3" t="s">
        <v>378</v>
      </c>
      <c r="C92" s="3" t="s">
        <v>387</v>
      </c>
      <c r="D92" s="1" t="s">
        <v>30</v>
      </c>
      <c r="E92" s="1" t="s">
        <v>388</v>
      </c>
      <c r="F92" s="3" t="s">
        <v>389</v>
      </c>
      <c r="G92" s="1" t="s">
        <v>30</v>
      </c>
      <c r="H92" s="3" t="s">
        <v>31</v>
      </c>
      <c r="I92" s="3" t="s">
        <v>390</v>
      </c>
      <c r="J92" s="1" t="s">
        <v>30</v>
      </c>
      <c r="K92" s="3" t="s">
        <v>391</v>
      </c>
      <c r="L92" s="4" t="s">
        <v>41</v>
      </c>
      <c r="M92" s="2" t="s">
        <v>392</v>
      </c>
    </row>
    <row r="93" spans="1:13">
      <c r="A93" s="1">
        <f t="shared" si="1"/>
        <v>89</v>
      </c>
      <c r="B93" s="3" t="s">
        <v>378</v>
      </c>
      <c r="C93" s="3" t="s">
        <v>393</v>
      </c>
      <c r="D93" s="1" t="s">
        <v>30</v>
      </c>
      <c r="E93" s="1" t="s">
        <v>38</v>
      </c>
      <c r="F93" s="3" t="s">
        <v>29</v>
      </c>
      <c r="G93" s="1" t="s">
        <v>30</v>
      </c>
      <c r="H93" s="3" t="s">
        <v>31</v>
      </c>
      <c r="I93" s="3" t="s">
        <v>394</v>
      </c>
      <c r="J93" s="1" t="s">
        <v>30</v>
      </c>
      <c r="K93" s="3" t="s">
        <v>40</v>
      </c>
      <c r="L93" s="4" t="s">
        <v>41</v>
      </c>
      <c r="M93" s="2" t="s">
        <v>395</v>
      </c>
    </row>
    <row r="94" spans="1:13" ht="34.5">
      <c r="A94" s="1">
        <f t="shared" si="1"/>
        <v>90</v>
      </c>
      <c r="B94" s="3" t="s">
        <v>378</v>
      </c>
      <c r="C94" s="3" t="s">
        <v>396</v>
      </c>
      <c r="D94" s="1" t="s">
        <v>30</v>
      </c>
      <c r="E94" s="1" t="s">
        <v>121</v>
      </c>
      <c r="F94" s="3" t="s">
        <v>122</v>
      </c>
      <c r="G94" s="1" t="s">
        <v>30</v>
      </c>
      <c r="H94" s="3" t="s">
        <v>123</v>
      </c>
      <c r="I94" s="3" t="s">
        <v>124</v>
      </c>
      <c r="J94" s="1" t="s">
        <v>30</v>
      </c>
      <c r="K94" s="9" t="s">
        <v>397</v>
      </c>
      <c r="L94" s="4" t="s">
        <v>60</v>
      </c>
      <c r="M94" s="2" t="s">
        <v>398</v>
      </c>
    </row>
    <row r="95" spans="1:13">
      <c r="A95" s="1">
        <f t="shared" si="1"/>
        <v>91</v>
      </c>
      <c r="B95" s="3" t="s">
        <v>378</v>
      </c>
      <c r="C95" s="3" t="s">
        <v>399</v>
      </c>
      <c r="D95" s="1" t="s">
        <v>30</v>
      </c>
      <c r="E95" s="1" t="s">
        <v>400</v>
      </c>
      <c r="F95" s="3" t="s">
        <v>401</v>
      </c>
      <c r="G95" s="1" t="s">
        <v>30</v>
      </c>
      <c r="H95" s="3" t="s">
        <v>31</v>
      </c>
      <c r="I95" s="3" t="s">
        <v>402</v>
      </c>
      <c r="J95" s="1" t="s">
        <v>30</v>
      </c>
      <c r="K95" s="3" t="s">
        <v>261</v>
      </c>
      <c r="L95" s="4" t="s">
        <v>41</v>
      </c>
      <c r="M95" s="2" t="s">
        <v>403</v>
      </c>
    </row>
    <row r="96" spans="1:13">
      <c r="A96" s="1">
        <f t="shared" si="1"/>
        <v>92</v>
      </c>
      <c r="B96" s="3" t="s">
        <v>378</v>
      </c>
      <c r="C96" s="3" t="s">
        <v>321</v>
      </c>
      <c r="D96" s="1" t="s">
        <v>30</v>
      </c>
      <c r="E96" s="1" t="s">
        <v>141</v>
      </c>
      <c r="F96" s="3" t="s">
        <v>142</v>
      </c>
      <c r="G96" s="1" t="s">
        <v>30</v>
      </c>
      <c r="H96" s="3" t="s">
        <v>31</v>
      </c>
      <c r="I96" s="3" t="s">
        <v>143</v>
      </c>
      <c r="J96" s="1" t="s">
        <v>30</v>
      </c>
      <c r="K96" s="3" t="s">
        <v>319</v>
      </c>
      <c r="L96" s="4" t="s">
        <v>41</v>
      </c>
      <c r="M96" s="2" t="s">
        <v>404</v>
      </c>
    </row>
    <row r="97" spans="1:13">
      <c r="A97" s="1">
        <f t="shared" si="1"/>
        <v>93</v>
      </c>
      <c r="B97" s="3" t="s">
        <v>378</v>
      </c>
      <c r="C97" s="3" t="s">
        <v>185</v>
      </c>
      <c r="D97" s="1" t="s">
        <v>63</v>
      </c>
      <c r="E97" s="1" t="s">
        <v>186</v>
      </c>
      <c r="F97" s="3" t="s">
        <v>187</v>
      </c>
      <c r="G97" s="1" t="s">
        <v>63</v>
      </c>
      <c r="H97" s="3" t="s">
        <v>31</v>
      </c>
      <c r="I97" s="3" t="s">
        <v>188</v>
      </c>
      <c r="J97" s="1" t="s">
        <v>30</v>
      </c>
      <c r="K97" s="3" t="s">
        <v>190</v>
      </c>
      <c r="L97" s="4" t="s">
        <v>35</v>
      </c>
      <c r="M97" s="2" t="s">
        <v>405</v>
      </c>
    </row>
    <row r="98" spans="1:13">
      <c r="A98" s="1">
        <f t="shared" si="1"/>
        <v>94</v>
      </c>
      <c r="B98" s="3" t="s">
        <v>378</v>
      </c>
      <c r="C98" s="3" t="s">
        <v>192</v>
      </c>
      <c r="D98" s="1" t="s">
        <v>63</v>
      </c>
      <c r="E98" s="1" t="s">
        <v>193</v>
      </c>
      <c r="F98" s="3" t="s">
        <v>194</v>
      </c>
      <c r="G98" s="1" t="s">
        <v>63</v>
      </c>
      <c r="H98" s="3" t="s">
        <v>31</v>
      </c>
      <c r="I98" s="3" t="s">
        <v>195</v>
      </c>
      <c r="J98" s="1" t="s">
        <v>30</v>
      </c>
      <c r="K98" s="3" t="s">
        <v>196</v>
      </c>
      <c r="L98" s="4" t="s">
        <v>35</v>
      </c>
      <c r="M98" s="2" t="s">
        <v>405</v>
      </c>
    </row>
    <row r="99" spans="1:13">
      <c r="A99" s="1">
        <f t="shared" si="1"/>
        <v>95</v>
      </c>
      <c r="B99" s="3" t="s">
        <v>378</v>
      </c>
      <c r="C99" s="3" t="s">
        <v>406</v>
      </c>
      <c r="D99" s="1" t="s">
        <v>30</v>
      </c>
      <c r="E99" s="1" t="s">
        <v>28</v>
      </c>
      <c r="F99" s="3" t="s">
        <v>407</v>
      </c>
      <c r="G99" s="1" t="s">
        <v>30</v>
      </c>
      <c r="H99" s="3" t="s">
        <v>328</v>
      </c>
      <c r="I99" s="3" t="s">
        <v>406</v>
      </c>
      <c r="J99" s="1" t="s">
        <v>30</v>
      </c>
      <c r="K99" s="9" t="s">
        <v>59</v>
      </c>
      <c r="L99" s="4" t="s">
        <v>60</v>
      </c>
      <c r="M99" s="2" t="s">
        <v>408</v>
      </c>
    </row>
    <row r="100" spans="1:13">
      <c r="A100" s="1">
        <f t="shared" si="1"/>
        <v>96</v>
      </c>
      <c r="B100" s="3" t="s">
        <v>378</v>
      </c>
      <c r="C100" s="3" t="s">
        <v>257</v>
      </c>
      <c r="D100" s="1" t="s">
        <v>30</v>
      </c>
      <c r="E100" s="1" t="s">
        <v>28</v>
      </c>
      <c r="F100" s="3" t="s">
        <v>258</v>
      </c>
      <c r="G100" s="1" t="s">
        <v>30</v>
      </c>
      <c r="H100" s="3" t="s">
        <v>259</v>
      </c>
      <c r="I100" s="3" t="s">
        <v>260</v>
      </c>
      <c r="J100" s="1" t="s">
        <v>30</v>
      </c>
      <c r="K100" s="3" t="s">
        <v>261</v>
      </c>
      <c r="L100" s="4" t="s">
        <v>41</v>
      </c>
      <c r="M100" s="2" t="s">
        <v>262</v>
      </c>
    </row>
    <row r="101" spans="1:13" ht="23.1">
      <c r="A101" s="1">
        <f t="shared" si="1"/>
        <v>97</v>
      </c>
      <c r="B101" s="3" t="s">
        <v>378</v>
      </c>
      <c r="C101" s="3" t="s">
        <v>409</v>
      </c>
      <c r="D101" s="1" t="s">
        <v>30</v>
      </c>
      <c r="E101" s="1" t="s">
        <v>28</v>
      </c>
      <c r="F101" s="3" t="s">
        <v>410</v>
      </c>
      <c r="G101" s="1" t="s">
        <v>30</v>
      </c>
      <c r="H101" s="3" t="s">
        <v>411</v>
      </c>
      <c r="I101" s="3" t="s">
        <v>412</v>
      </c>
      <c r="J101" s="1" t="s">
        <v>30</v>
      </c>
      <c r="K101" s="9" t="s">
        <v>59</v>
      </c>
      <c r="L101" s="4" t="s">
        <v>60</v>
      </c>
      <c r="M101" s="2" t="s">
        <v>413</v>
      </c>
    </row>
    <row r="102" spans="1:13" ht="23.1">
      <c r="A102" s="1">
        <f t="shared" si="1"/>
        <v>98</v>
      </c>
      <c r="B102" s="3" t="s">
        <v>378</v>
      </c>
      <c r="C102" s="3" t="s">
        <v>414</v>
      </c>
      <c r="D102" s="1" t="s">
        <v>376</v>
      </c>
      <c r="E102" s="1" t="s">
        <v>28</v>
      </c>
      <c r="F102" s="3" t="s">
        <v>22</v>
      </c>
      <c r="G102" s="1" t="s">
        <v>22</v>
      </c>
      <c r="H102" s="3" t="s">
        <v>23</v>
      </c>
      <c r="I102" s="3" t="s">
        <v>22</v>
      </c>
      <c r="J102" s="1" t="s">
        <v>22</v>
      </c>
      <c r="K102" s="9" t="s">
        <v>24</v>
      </c>
      <c r="L102" s="4" t="s">
        <v>25</v>
      </c>
      <c r="M102" s="2" t="s">
        <v>415</v>
      </c>
    </row>
    <row r="103" spans="1:13" ht="23.1">
      <c r="A103" s="1">
        <f t="shared" si="1"/>
        <v>99</v>
      </c>
      <c r="B103" s="3" t="s">
        <v>416</v>
      </c>
      <c r="C103" s="3" t="s">
        <v>417</v>
      </c>
      <c r="D103" s="1" t="s">
        <v>21</v>
      </c>
      <c r="E103" s="1" t="s">
        <v>22</v>
      </c>
      <c r="F103" s="3" t="s">
        <v>22</v>
      </c>
      <c r="G103" s="1" t="s">
        <v>22</v>
      </c>
      <c r="H103" s="3" t="s">
        <v>23</v>
      </c>
      <c r="I103" s="3" t="s">
        <v>22</v>
      </c>
      <c r="J103" s="1" t="s">
        <v>22</v>
      </c>
      <c r="K103" s="9" t="s">
        <v>24</v>
      </c>
      <c r="L103" s="4" t="s">
        <v>25</v>
      </c>
      <c r="M103" s="2" t="s">
        <v>119</v>
      </c>
    </row>
    <row r="104" spans="1:13" ht="23.1">
      <c r="A104" s="1">
        <f t="shared" si="1"/>
        <v>100</v>
      </c>
      <c r="B104" s="3" t="s">
        <v>416</v>
      </c>
      <c r="C104" s="3" t="s">
        <v>118</v>
      </c>
      <c r="D104" s="1" t="s">
        <v>21</v>
      </c>
      <c r="E104" s="1" t="s">
        <v>28</v>
      </c>
      <c r="F104" s="3" t="s">
        <v>22</v>
      </c>
      <c r="G104" s="1" t="s">
        <v>22</v>
      </c>
      <c r="H104" s="3" t="s">
        <v>23</v>
      </c>
      <c r="I104" s="3" t="s">
        <v>22</v>
      </c>
      <c r="J104" s="1" t="s">
        <v>22</v>
      </c>
      <c r="K104" s="9" t="s">
        <v>24</v>
      </c>
      <c r="L104" s="4" t="s">
        <v>25</v>
      </c>
      <c r="M104" s="2" t="s">
        <v>418</v>
      </c>
    </row>
    <row r="105" spans="1:13">
      <c r="A105" s="1">
        <f t="shared" si="1"/>
        <v>101</v>
      </c>
      <c r="B105" s="3" t="s">
        <v>416</v>
      </c>
      <c r="C105" s="3" t="s">
        <v>419</v>
      </c>
      <c r="D105" s="1" t="s">
        <v>30</v>
      </c>
      <c r="E105" s="1" t="s">
        <v>28</v>
      </c>
      <c r="F105" s="3" t="s">
        <v>22</v>
      </c>
      <c r="G105" s="1" t="s">
        <v>22</v>
      </c>
      <c r="H105" s="3" t="s">
        <v>5</v>
      </c>
      <c r="I105" s="3" t="s">
        <v>420</v>
      </c>
      <c r="J105" s="1" t="s">
        <v>421</v>
      </c>
      <c r="K105" s="3" t="s">
        <v>422</v>
      </c>
      <c r="L105" s="4" t="s">
        <v>41</v>
      </c>
      <c r="M105" s="2" t="s">
        <v>270</v>
      </c>
    </row>
    <row r="106" spans="1:13">
      <c r="A106" s="1">
        <f t="shared" si="1"/>
        <v>102</v>
      </c>
      <c r="B106" s="3" t="s">
        <v>416</v>
      </c>
      <c r="C106" s="3" t="s">
        <v>423</v>
      </c>
      <c r="D106" s="1" t="s">
        <v>30</v>
      </c>
      <c r="E106" s="1" t="s">
        <v>28</v>
      </c>
      <c r="F106" s="3" t="s">
        <v>22</v>
      </c>
      <c r="G106" s="1" t="s">
        <v>22</v>
      </c>
      <c r="H106" s="3" t="s">
        <v>5</v>
      </c>
      <c r="I106" s="3" t="s">
        <v>424</v>
      </c>
      <c r="J106" s="1" t="s">
        <v>425</v>
      </c>
      <c r="K106" s="3" t="s">
        <v>426</v>
      </c>
      <c r="L106" s="4" t="s">
        <v>41</v>
      </c>
      <c r="M106" s="2" t="s">
        <v>427</v>
      </c>
    </row>
    <row r="107" spans="1:13">
      <c r="A107" s="1">
        <f t="shared" si="1"/>
        <v>103</v>
      </c>
      <c r="B107" s="3" t="s">
        <v>416</v>
      </c>
      <c r="C107" s="3" t="s">
        <v>428</v>
      </c>
      <c r="D107" s="1" t="s">
        <v>30</v>
      </c>
      <c r="E107" s="1" t="s">
        <v>28</v>
      </c>
      <c r="F107" s="3" t="s">
        <v>22</v>
      </c>
      <c r="G107" s="1" t="s">
        <v>22</v>
      </c>
      <c r="H107" s="3" t="s">
        <v>5</v>
      </c>
      <c r="I107" s="3" t="s">
        <v>429</v>
      </c>
      <c r="J107" s="1" t="s">
        <v>425</v>
      </c>
      <c r="K107" s="3" t="s">
        <v>430</v>
      </c>
      <c r="L107" s="4" t="s">
        <v>41</v>
      </c>
      <c r="M107" s="2" t="s">
        <v>427</v>
      </c>
    </row>
    <row r="108" spans="1:13">
      <c r="A108" s="1">
        <f t="shared" si="1"/>
        <v>104</v>
      </c>
      <c r="B108" s="3" t="s">
        <v>416</v>
      </c>
      <c r="C108" s="3" t="s">
        <v>431</v>
      </c>
      <c r="D108" s="1" t="s">
        <v>30</v>
      </c>
      <c r="E108" s="1" t="s">
        <v>28</v>
      </c>
      <c r="F108" s="3" t="s">
        <v>22</v>
      </c>
      <c r="G108" s="1" t="s">
        <v>22</v>
      </c>
      <c r="H108" s="3" t="s">
        <v>5</v>
      </c>
      <c r="I108" s="3" t="s">
        <v>432</v>
      </c>
      <c r="J108" s="1" t="s">
        <v>433</v>
      </c>
      <c r="K108" s="3" t="s">
        <v>434</v>
      </c>
      <c r="L108" s="4" t="s">
        <v>41</v>
      </c>
      <c r="M108" s="2"/>
    </row>
    <row r="109" spans="1:13">
      <c r="A109" s="1">
        <f t="shared" si="1"/>
        <v>105</v>
      </c>
      <c r="B109" s="3" t="s">
        <v>416</v>
      </c>
      <c r="C109" s="3" t="s">
        <v>247</v>
      </c>
      <c r="D109" s="1" t="s">
        <v>30</v>
      </c>
      <c r="E109" s="1" t="s">
        <v>28</v>
      </c>
      <c r="F109" s="3" t="s">
        <v>22</v>
      </c>
      <c r="G109" s="1" t="s">
        <v>22</v>
      </c>
      <c r="H109" s="3" t="s">
        <v>5</v>
      </c>
      <c r="I109" s="3" t="s">
        <v>435</v>
      </c>
      <c r="J109" s="1" t="s">
        <v>433</v>
      </c>
      <c r="K109" s="3" t="s">
        <v>251</v>
      </c>
      <c r="L109" s="4" t="s">
        <v>41</v>
      </c>
      <c r="M109" s="2"/>
    </row>
    <row r="110" spans="1:13">
      <c r="A110" s="1">
        <f t="shared" si="1"/>
        <v>106</v>
      </c>
      <c r="B110" s="3" t="s">
        <v>416</v>
      </c>
      <c r="C110" s="3" t="s">
        <v>436</v>
      </c>
      <c r="D110" s="1" t="s">
        <v>30</v>
      </c>
      <c r="E110" s="1" t="s">
        <v>28</v>
      </c>
      <c r="F110" s="3" t="s">
        <v>22</v>
      </c>
      <c r="G110" s="1" t="s">
        <v>22</v>
      </c>
      <c r="H110" s="3" t="s">
        <v>5</v>
      </c>
      <c r="I110" s="3" t="s">
        <v>437</v>
      </c>
      <c r="J110" s="1" t="s">
        <v>433</v>
      </c>
      <c r="K110" s="3" t="s">
        <v>438</v>
      </c>
      <c r="L110" s="4" t="s">
        <v>41</v>
      </c>
      <c r="M110" s="2"/>
    </row>
    <row r="111" spans="1:13">
      <c r="A111" s="1">
        <f t="shared" si="1"/>
        <v>107</v>
      </c>
      <c r="B111" s="3" t="s">
        <v>416</v>
      </c>
      <c r="C111" s="3" t="s">
        <v>439</v>
      </c>
      <c r="D111" s="1" t="s">
        <v>30</v>
      </c>
      <c r="E111" s="1" t="s">
        <v>28</v>
      </c>
      <c r="F111" s="3" t="s">
        <v>22</v>
      </c>
      <c r="G111" s="1" t="s">
        <v>22</v>
      </c>
      <c r="H111" s="3" t="s">
        <v>5</v>
      </c>
      <c r="I111" s="3" t="s">
        <v>440</v>
      </c>
      <c r="J111" s="1" t="s">
        <v>433</v>
      </c>
      <c r="K111" s="3" t="s">
        <v>441</v>
      </c>
      <c r="L111" s="4" t="s">
        <v>41</v>
      </c>
      <c r="M111" s="2"/>
    </row>
    <row r="112" spans="1:13">
      <c r="A112" s="1">
        <f t="shared" si="1"/>
        <v>108</v>
      </c>
      <c r="B112" s="3" t="s">
        <v>416</v>
      </c>
      <c r="C112" s="3" t="s">
        <v>442</v>
      </c>
      <c r="D112" s="1" t="s">
        <v>30</v>
      </c>
      <c r="E112" s="1" t="s">
        <v>28</v>
      </c>
      <c r="F112" s="3" t="s">
        <v>22</v>
      </c>
      <c r="G112" s="1" t="s">
        <v>22</v>
      </c>
      <c r="H112" s="3" t="s">
        <v>5</v>
      </c>
      <c r="I112" s="3" t="s">
        <v>443</v>
      </c>
      <c r="J112" s="1" t="s">
        <v>425</v>
      </c>
      <c r="K112" s="3" t="s">
        <v>444</v>
      </c>
      <c r="L112" s="4" t="s">
        <v>41</v>
      </c>
      <c r="M112" s="2"/>
    </row>
    <row r="113" spans="1:13">
      <c r="A113" s="1">
        <f t="shared" si="1"/>
        <v>109</v>
      </c>
      <c r="B113" s="3" t="s">
        <v>416</v>
      </c>
      <c r="C113" s="3" t="s">
        <v>445</v>
      </c>
      <c r="D113" s="1" t="s">
        <v>63</v>
      </c>
      <c r="E113" s="1" t="s">
        <v>28</v>
      </c>
      <c r="F113" s="3" t="s">
        <v>22</v>
      </c>
      <c r="G113" s="1" t="s">
        <v>22</v>
      </c>
      <c r="H113" s="3" t="s">
        <v>5</v>
      </c>
      <c r="I113" s="3" t="s">
        <v>446</v>
      </c>
      <c r="J113" s="1" t="s">
        <v>433</v>
      </c>
      <c r="K113" s="3" t="s">
        <v>447</v>
      </c>
      <c r="L113" s="4" t="s">
        <v>35</v>
      </c>
      <c r="M113" s="2" t="s">
        <v>448</v>
      </c>
    </row>
    <row r="114" spans="1:13">
      <c r="A114" s="1">
        <f t="shared" si="1"/>
        <v>110</v>
      </c>
      <c r="B114" s="3" t="s">
        <v>416</v>
      </c>
      <c r="C114" s="3" t="s">
        <v>449</v>
      </c>
      <c r="D114" s="1" t="s">
        <v>21</v>
      </c>
      <c r="E114" s="1" t="s">
        <v>28</v>
      </c>
      <c r="F114" s="3" t="s">
        <v>22</v>
      </c>
      <c r="G114" s="1" t="s">
        <v>22</v>
      </c>
      <c r="H114" s="3" t="s">
        <v>5</v>
      </c>
      <c r="I114" s="3" t="s">
        <v>450</v>
      </c>
      <c r="J114" s="1" t="s">
        <v>21</v>
      </c>
      <c r="K114" s="3" t="s">
        <v>451</v>
      </c>
      <c r="L114" s="4" t="s">
        <v>41</v>
      </c>
      <c r="M114" s="2"/>
    </row>
    <row r="115" spans="1:13">
      <c r="A115" s="1">
        <f t="shared" si="1"/>
        <v>111</v>
      </c>
      <c r="B115" s="3" t="s">
        <v>416</v>
      </c>
      <c r="C115" s="3" t="s">
        <v>452</v>
      </c>
      <c r="D115" s="1" t="s">
        <v>63</v>
      </c>
      <c r="E115" s="1" t="s">
        <v>28</v>
      </c>
      <c r="F115" s="3" t="s">
        <v>22</v>
      </c>
      <c r="G115" s="1" t="s">
        <v>22</v>
      </c>
      <c r="H115" s="3" t="s">
        <v>5</v>
      </c>
      <c r="I115" s="3" t="s">
        <v>453</v>
      </c>
      <c r="J115" s="1" t="s">
        <v>63</v>
      </c>
      <c r="K115" s="3" t="s">
        <v>454</v>
      </c>
      <c r="L115" s="4" t="s">
        <v>41</v>
      </c>
      <c r="M115" s="2"/>
    </row>
    <row r="116" spans="1:13">
      <c r="A116" s="1">
        <f t="shared" si="1"/>
        <v>112</v>
      </c>
      <c r="B116" s="3" t="s">
        <v>416</v>
      </c>
      <c r="C116" s="3" t="s">
        <v>455</v>
      </c>
      <c r="D116" s="1" t="s">
        <v>63</v>
      </c>
      <c r="E116" s="1" t="s">
        <v>28</v>
      </c>
      <c r="F116" s="3" t="s">
        <v>22</v>
      </c>
      <c r="G116" s="1" t="s">
        <v>22</v>
      </c>
      <c r="H116" s="3" t="s">
        <v>5</v>
      </c>
      <c r="I116" s="3" t="s">
        <v>456</v>
      </c>
      <c r="J116" s="1" t="s">
        <v>433</v>
      </c>
      <c r="K116" s="3" t="s">
        <v>457</v>
      </c>
      <c r="L116" s="4" t="s">
        <v>35</v>
      </c>
      <c r="M116" s="2" t="s">
        <v>448</v>
      </c>
    </row>
    <row r="117" spans="1:13">
      <c r="A117" s="1">
        <f t="shared" si="1"/>
        <v>113</v>
      </c>
      <c r="B117" s="3" t="s">
        <v>416</v>
      </c>
      <c r="C117" s="3" t="s">
        <v>458</v>
      </c>
      <c r="D117" s="1" t="s">
        <v>30</v>
      </c>
      <c r="E117" s="1" t="s">
        <v>28</v>
      </c>
      <c r="F117" s="3" t="s">
        <v>22</v>
      </c>
      <c r="G117" s="1" t="s">
        <v>22</v>
      </c>
      <c r="H117" s="3" t="s">
        <v>5</v>
      </c>
      <c r="I117" s="3" t="s">
        <v>459</v>
      </c>
      <c r="J117" s="1" t="s">
        <v>433</v>
      </c>
      <c r="K117" s="3" t="s">
        <v>460</v>
      </c>
      <c r="L117" s="4" t="s">
        <v>41</v>
      </c>
      <c r="M117" s="2"/>
    </row>
    <row r="118" spans="1:13">
      <c r="A118" s="1">
        <f t="shared" si="1"/>
        <v>114</v>
      </c>
      <c r="B118" s="3" t="s">
        <v>416</v>
      </c>
      <c r="C118" s="3" t="s">
        <v>461</v>
      </c>
      <c r="D118" s="1" t="s">
        <v>63</v>
      </c>
      <c r="E118" s="1" t="s">
        <v>28</v>
      </c>
      <c r="F118" s="3" t="s">
        <v>22</v>
      </c>
      <c r="G118" s="1" t="s">
        <v>22</v>
      </c>
      <c r="H118" s="3" t="s">
        <v>5</v>
      </c>
      <c r="I118" s="3" t="s">
        <v>462</v>
      </c>
      <c r="J118" s="1" t="s">
        <v>433</v>
      </c>
      <c r="K118" s="3" t="s">
        <v>463</v>
      </c>
      <c r="L118" s="4" t="s">
        <v>35</v>
      </c>
      <c r="M118" s="2" t="s">
        <v>448</v>
      </c>
    </row>
    <row r="119" spans="1:13">
      <c r="A119" s="1">
        <f t="shared" si="1"/>
        <v>115</v>
      </c>
      <c r="B119" s="3" t="s">
        <v>416</v>
      </c>
      <c r="C119" s="3" t="s">
        <v>464</v>
      </c>
      <c r="D119" s="1" t="s">
        <v>30</v>
      </c>
      <c r="E119" s="1" t="s">
        <v>28</v>
      </c>
      <c r="F119" s="3" t="s">
        <v>22</v>
      </c>
      <c r="G119" s="1" t="s">
        <v>22</v>
      </c>
      <c r="H119" s="3" t="s">
        <v>5</v>
      </c>
      <c r="I119" s="3" t="s">
        <v>465</v>
      </c>
      <c r="J119" s="1" t="s">
        <v>433</v>
      </c>
      <c r="K119" s="3" t="s">
        <v>466</v>
      </c>
      <c r="L119" s="4" t="s">
        <v>41</v>
      </c>
      <c r="M119" s="2"/>
    </row>
    <row r="120" spans="1:13">
      <c r="A120" s="1">
        <f t="shared" si="1"/>
        <v>116</v>
      </c>
      <c r="B120" s="3" t="s">
        <v>416</v>
      </c>
      <c r="C120" s="3" t="s">
        <v>467</v>
      </c>
      <c r="D120" s="1" t="s">
        <v>63</v>
      </c>
      <c r="E120" s="1" t="s">
        <v>28</v>
      </c>
      <c r="F120" s="3" t="s">
        <v>22</v>
      </c>
      <c r="G120" s="1" t="s">
        <v>22</v>
      </c>
      <c r="H120" s="3" t="s">
        <v>5</v>
      </c>
      <c r="I120" s="3" t="s">
        <v>468</v>
      </c>
      <c r="J120" s="1" t="s">
        <v>433</v>
      </c>
      <c r="K120" s="3" t="s">
        <v>469</v>
      </c>
      <c r="L120" s="4" t="s">
        <v>35</v>
      </c>
      <c r="M120" s="2" t="s">
        <v>448</v>
      </c>
    </row>
    <row r="121" spans="1:13">
      <c r="A121" s="1">
        <f t="shared" si="1"/>
        <v>117</v>
      </c>
      <c r="B121" s="3" t="s">
        <v>416</v>
      </c>
      <c r="C121" s="3" t="s">
        <v>470</v>
      </c>
      <c r="D121" s="1" t="s">
        <v>63</v>
      </c>
      <c r="E121" s="1" t="s">
        <v>28</v>
      </c>
      <c r="F121" s="3" t="s">
        <v>22</v>
      </c>
      <c r="G121" s="1" t="s">
        <v>22</v>
      </c>
      <c r="H121" s="3" t="s">
        <v>5</v>
      </c>
      <c r="I121" s="3" t="s">
        <v>471</v>
      </c>
      <c r="J121" s="1" t="s">
        <v>433</v>
      </c>
      <c r="K121" s="3" t="s">
        <v>472</v>
      </c>
      <c r="L121" s="4" t="s">
        <v>35</v>
      </c>
      <c r="M121" s="2" t="s">
        <v>448</v>
      </c>
    </row>
    <row r="122" spans="1:13" ht="34.5">
      <c r="A122" s="1">
        <f t="shared" si="1"/>
        <v>118</v>
      </c>
      <c r="B122" s="3" t="s">
        <v>416</v>
      </c>
      <c r="C122" s="3" t="s">
        <v>473</v>
      </c>
      <c r="D122" s="1" t="s">
        <v>30</v>
      </c>
      <c r="E122" s="1" t="s">
        <v>28</v>
      </c>
      <c r="F122" s="3" t="s">
        <v>22</v>
      </c>
      <c r="G122" s="1" t="s">
        <v>22</v>
      </c>
      <c r="H122" s="3" t="s">
        <v>5</v>
      </c>
      <c r="I122" s="3" t="s">
        <v>474</v>
      </c>
      <c r="J122" s="1" t="s">
        <v>433</v>
      </c>
      <c r="K122" s="3" t="s">
        <v>475</v>
      </c>
      <c r="L122" s="4" t="s">
        <v>41</v>
      </c>
      <c r="M122" s="2" t="s">
        <v>476</v>
      </c>
    </row>
    <row r="123" spans="1:13">
      <c r="A123" s="1">
        <f t="shared" si="1"/>
        <v>119</v>
      </c>
      <c r="B123" s="3" t="s">
        <v>416</v>
      </c>
      <c r="C123" s="3" t="s">
        <v>477</v>
      </c>
      <c r="D123" s="1" t="s">
        <v>30</v>
      </c>
      <c r="E123" s="1" t="s">
        <v>28</v>
      </c>
      <c r="F123" s="3" t="s">
        <v>22</v>
      </c>
      <c r="G123" s="1" t="s">
        <v>22</v>
      </c>
      <c r="H123" s="3" t="s">
        <v>5</v>
      </c>
      <c r="I123" s="3" t="s">
        <v>478</v>
      </c>
      <c r="J123" s="1" t="s">
        <v>433</v>
      </c>
      <c r="K123" s="3" t="s">
        <v>479</v>
      </c>
      <c r="L123" s="4" t="s">
        <v>41</v>
      </c>
      <c r="M123" s="2"/>
    </row>
    <row r="124" spans="1:13">
      <c r="A124" s="1">
        <f t="shared" si="1"/>
        <v>120</v>
      </c>
      <c r="B124" s="3" t="s">
        <v>416</v>
      </c>
      <c r="C124" s="3" t="s">
        <v>480</v>
      </c>
      <c r="D124" s="1" t="s">
        <v>30</v>
      </c>
      <c r="E124" s="1" t="s">
        <v>28</v>
      </c>
      <c r="F124" s="3" t="s">
        <v>22</v>
      </c>
      <c r="G124" s="1" t="s">
        <v>22</v>
      </c>
      <c r="H124" s="3" t="s">
        <v>5</v>
      </c>
      <c r="I124" s="3" t="s">
        <v>481</v>
      </c>
      <c r="J124" s="1" t="s">
        <v>433</v>
      </c>
      <c r="K124" s="3" t="s">
        <v>482</v>
      </c>
      <c r="L124" s="4" t="s">
        <v>41</v>
      </c>
      <c r="M124" s="2"/>
    </row>
    <row r="125" spans="1:13">
      <c r="A125" s="1">
        <f t="shared" si="1"/>
        <v>121</v>
      </c>
      <c r="B125" s="3" t="s">
        <v>416</v>
      </c>
      <c r="C125" s="3" t="s">
        <v>234</v>
      </c>
      <c r="D125" s="1" t="s">
        <v>30</v>
      </c>
      <c r="E125" s="1" t="s">
        <v>28</v>
      </c>
      <c r="F125" s="3" t="s">
        <v>235</v>
      </c>
      <c r="G125" s="1" t="s">
        <v>30</v>
      </c>
      <c r="H125" s="3" t="s">
        <v>236</v>
      </c>
      <c r="I125" s="3" t="s">
        <v>237</v>
      </c>
      <c r="J125" s="1" t="s">
        <v>30</v>
      </c>
      <c r="K125" s="9" t="s">
        <v>59</v>
      </c>
      <c r="L125" s="4" t="s">
        <v>60</v>
      </c>
      <c r="M125" s="2" t="s">
        <v>246</v>
      </c>
    </row>
    <row r="126" spans="1:13">
      <c r="A126" s="1">
        <f t="shared" si="1"/>
        <v>122</v>
      </c>
      <c r="B126" s="3" t="s">
        <v>416</v>
      </c>
      <c r="C126" s="3" t="s">
        <v>239</v>
      </c>
      <c r="D126" s="1" t="s">
        <v>30</v>
      </c>
      <c r="E126" s="1" t="s">
        <v>28</v>
      </c>
      <c r="F126" s="3" t="s">
        <v>240</v>
      </c>
      <c r="G126" s="1" t="s">
        <v>30</v>
      </c>
      <c r="H126" s="3" t="s">
        <v>57</v>
      </c>
      <c r="I126" s="3" t="s">
        <v>241</v>
      </c>
      <c r="J126" s="1" t="s">
        <v>30</v>
      </c>
      <c r="K126" s="9" t="s">
        <v>59</v>
      </c>
      <c r="L126" s="4" t="s">
        <v>60</v>
      </c>
      <c r="M126" s="2" t="s">
        <v>242</v>
      </c>
    </row>
    <row r="127" spans="1:13">
      <c r="A127" s="1">
        <f t="shared" si="1"/>
        <v>123</v>
      </c>
      <c r="B127" s="3" t="s">
        <v>416</v>
      </c>
      <c r="C127" s="3" t="s">
        <v>243</v>
      </c>
      <c r="D127" s="1" t="s">
        <v>30</v>
      </c>
      <c r="E127" s="1" t="s">
        <v>28</v>
      </c>
      <c r="F127" s="3" t="s">
        <v>244</v>
      </c>
      <c r="G127" s="1" t="s">
        <v>30</v>
      </c>
      <c r="H127" s="3" t="s">
        <v>236</v>
      </c>
      <c r="I127" s="3" t="s">
        <v>245</v>
      </c>
      <c r="J127" s="1" t="s">
        <v>30</v>
      </c>
      <c r="K127" s="9" t="s">
        <v>59</v>
      </c>
      <c r="L127" s="4" t="s">
        <v>60</v>
      </c>
      <c r="M127" s="2" t="s">
        <v>246</v>
      </c>
    </row>
    <row r="128" spans="1:13">
      <c r="A128" s="1">
        <f t="shared" si="1"/>
        <v>124</v>
      </c>
      <c r="B128" s="3" t="s">
        <v>416</v>
      </c>
      <c r="C128" s="3" t="s">
        <v>483</v>
      </c>
      <c r="D128" s="1" t="s">
        <v>30</v>
      </c>
      <c r="E128" s="1" t="s">
        <v>28</v>
      </c>
      <c r="F128" s="3" t="s">
        <v>22</v>
      </c>
      <c r="G128" s="1" t="s">
        <v>22</v>
      </c>
      <c r="H128" s="3" t="s">
        <v>57</v>
      </c>
      <c r="I128" s="3" t="s">
        <v>484</v>
      </c>
      <c r="J128" s="1" t="s">
        <v>30</v>
      </c>
      <c r="K128" s="9" t="s">
        <v>59</v>
      </c>
      <c r="L128" s="4" t="s">
        <v>60</v>
      </c>
      <c r="M128" s="2" t="s">
        <v>242</v>
      </c>
    </row>
    <row r="129" spans="1:13">
      <c r="A129" s="1">
        <f t="shared" si="1"/>
        <v>125</v>
      </c>
      <c r="B129" s="3" t="s">
        <v>416</v>
      </c>
      <c r="C129" s="3" t="s">
        <v>485</v>
      </c>
      <c r="D129" s="1" t="s">
        <v>30</v>
      </c>
      <c r="E129" s="1" t="s">
        <v>28</v>
      </c>
      <c r="F129" s="3" t="s">
        <v>22</v>
      </c>
      <c r="G129" s="1" t="s">
        <v>22</v>
      </c>
      <c r="H129" s="3" t="s">
        <v>328</v>
      </c>
      <c r="I129" s="3" t="s">
        <v>485</v>
      </c>
      <c r="J129" s="1" t="s">
        <v>30</v>
      </c>
      <c r="K129" s="9" t="s">
        <v>59</v>
      </c>
      <c r="L129" s="4" t="s">
        <v>60</v>
      </c>
      <c r="M129" s="2" t="s">
        <v>329</v>
      </c>
    </row>
    <row r="130" spans="1:13" ht="23.1">
      <c r="A130" s="1">
        <f t="shared" si="1"/>
        <v>126</v>
      </c>
      <c r="B130" s="3" t="s">
        <v>416</v>
      </c>
      <c r="C130" s="3" t="s">
        <v>486</v>
      </c>
      <c r="D130" s="1" t="s">
        <v>30</v>
      </c>
      <c r="E130" s="1" t="s">
        <v>28</v>
      </c>
      <c r="F130" s="3" t="s">
        <v>22</v>
      </c>
      <c r="G130" s="1" t="s">
        <v>22</v>
      </c>
      <c r="H130" s="3" t="s">
        <v>328</v>
      </c>
      <c r="I130" s="3" t="s">
        <v>486</v>
      </c>
      <c r="J130" s="1" t="s">
        <v>30</v>
      </c>
      <c r="K130" s="3" t="s">
        <v>487</v>
      </c>
      <c r="L130" s="4" t="s">
        <v>60</v>
      </c>
      <c r="M130" s="2" t="s">
        <v>488</v>
      </c>
    </row>
    <row r="131" spans="1:13">
      <c r="A131" s="1">
        <f t="shared" si="1"/>
        <v>127</v>
      </c>
      <c r="B131" s="3" t="s">
        <v>416</v>
      </c>
      <c r="C131" s="3" t="s">
        <v>489</v>
      </c>
      <c r="D131" s="1" t="s">
        <v>30</v>
      </c>
      <c r="E131" s="1" t="s">
        <v>28</v>
      </c>
      <c r="F131" s="3" t="s">
        <v>22</v>
      </c>
      <c r="G131" s="1" t="s">
        <v>22</v>
      </c>
      <c r="H131" s="3" t="s">
        <v>328</v>
      </c>
      <c r="I131" s="3" t="s">
        <v>489</v>
      </c>
      <c r="J131" s="1" t="s">
        <v>30</v>
      </c>
      <c r="K131" s="9" t="s">
        <v>59</v>
      </c>
      <c r="L131" s="4" t="s">
        <v>60</v>
      </c>
      <c r="M131" s="2" t="s">
        <v>329</v>
      </c>
    </row>
    <row r="132" spans="1:13" ht="23.1">
      <c r="A132" s="1">
        <f t="shared" si="1"/>
        <v>128</v>
      </c>
      <c r="B132" s="3" t="s">
        <v>416</v>
      </c>
      <c r="C132" s="3" t="s">
        <v>490</v>
      </c>
      <c r="D132" s="1" t="s">
        <v>30</v>
      </c>
      <c r="E132" s="1" t="s">
        <v>28</v>
      </c>
      <c r="F132" s="3" t="s">
        <v>22</v>
      </c>
      <c r="G132" s="1" t="s">
        <v>22</v>
      </c>
      <c r="H132" s="3" t="s">
        <v>5</v>
      </c>
      <c r="I132" s="3" t="s">
        <v>491</v>
      </c>
      <c r="J132" s="1" t="s">
        <v>21</v>
      </c>
      <c r="K132" s="3" t="s">
        <v>492</v>
      </c>
      <c r="L132" s="4" t="s">
        <v>41</v>
      </c>
      <c r="M132" s="2" t="s">
        <v>493</v>
      </c>
    </row>
    <row r="133" spans="1:13" ht="23.1">
      <c r="A133" s="1">
        <f t="shared" si="1"/>
        <v>129</v>
      </c>
      <c r="B133" s="3" t="s">
        <v>416</v>
      </c>
      <c r="C133" s="3" t="s">
        <v>494</v>
      </c>
      <c r="D133" s="1" t="s">
        <v>30</v>
      </c>
      <c r="E133" s="1" t="s">
        <v>28</v>
      </c>
      <c r="F133" s="3" t="s">
        <v>22</v>
      </c>
      <c r="G133" s="1" t="s">
        <v>22</v>
      </c>
      <c r="H133" s="3" t="s">
        <v>495</v>
      </c>
      <c r="I133" s="3" t="s">
        <v>496</v>
      </c>
      <c r="J133" s="1" t="s">
        <v>30</v>
      </c>
      <c r="K133" s="3" t="s">
        <v>255</v>
      </c>
      <c r="L133" s="4" t="s">
        <v>41</v>
      </c>
      <c r="M133" s="2" t="s">
        <v>497</v>
      </c>
    </row>
  </sheetData>
  <autoFilter ref="A3:M133" xr:uid="{A90FAADE-AB8A-4D6F-843E-6DF5A86FA438}">
    <filterColumn colId="0" showButton="0"/>
    <filterColumn colId="1" showButton="0"/>
    <filterColumn colId="2" showButton="0"/>
    <filterColumn colId="3" showButton="0"/>
    <filterColumn colId="5" showButton="0"/>
    <filterColumn colId="7" showButton="0"/>
    <filterColumn colId="8" showButton="0"/>
  </autoFilter>
  <mergeCells count="5">
    <mergeCell ref="A1:M1"/>
    <mergeCell ref="A2:M2"/>
    <mergeCell ref="A3:E3"/>
    <mergeCell ref="F3:G3"/>
    <mergeCell ref="H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Props1.xml><?xml version="1.0" encoding="utf-8"?>
<ds:datastoreItem xmlns:ds="http://schemas.openxmlformats.org/officeDocument/2006/customXml" ds:itemID="{6C43249D-5D90-4148-BA61-A60D8CC67BFC}"/>
</file>

<file path=customXml/itemProps2.xml><?xml version="1.0" encoding="utf-8"?>
<ds:datastoreItem xmlns:ds="http://schemas.openxmlformats.org/officeDocument/2006/customXml" ds:itemID="{943E7D7D-C2B6-4D3D-8FDD-F143F5F2A96B}"/>
</file>

<file path=customXml/itemProps3.xml><?xml version="1.0" encoding="utf-8"?>
<ds:datastoreItem xmlns:ds="http://schemas.openxmlformats.org/officeDocument/2006/customXml" ds:itemID="{94066A81-5695-48C0-AC49-A93DD735D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CinqCare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Ram</dc:creator>
  <cp:keywords/>
  <dc:description/>
  <cp:lastModifiedBy>Monica Ram</cp:lastModifiedBy>
  <cp:revision/>
  <dcterms:created xsi:type="dcterms:W3CDTF">2026-04-17T15:31:53Z</dcterms:created>
  <dcterms:modified xsi:type="dcterms:W3CDTF">2026-04-23T14:13:13Z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