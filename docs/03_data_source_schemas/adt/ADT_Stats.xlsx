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9"/>
  <workbookPr/>
  <mc:AlternateContent xmlns:mc="http://schemas.openxmlformats.org/markup-compatibility/2006">
    <mc:Choice Requires="x15">
      <x15ac:absPath xmlns:x15ac="http://schemas.microsoft.com/office/spreadsheetml/2010/11/ac" url="https://cinqcare.sharepoint.com/sites/Datalake/Shared Documents/2-Design/"/>
    </mc:Choice>
  </mc:AlternateContent>
  <xr:revisionPtr revIDLastSave="115" documentId="11_0B1D56BE9CDCCE836B02CE7A5FB0D4A9BBFD1C62" xr6:coauthVersionLast="47" xr6:coauthVersionMax="47" xr10:uidLastSave="{52EF1387-476B-4F71-8F3A-D835BF276FF4}"/>
  <bookViews>
    <workbookView xWindow="-108" yWindow="-108" windowWidth="23256" windowHeight="12456" xr2:uid="{00000000-000D-0000-FFFF-FFFF00000000}"/>
  </bookViews>
  <sheets>
    <sheet name="Sheet1" sheetId="1" r:id="rId1"/>
  </sheets>
  <definedNames>
    <definedName name="_xlnm._FilterDatabase" localSheetId="0" hidden="1">Sheet1!$A$1:$S$143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2" i="1"/>
</calcChain>
</file>

<file path=xl/sharedStrings.xml><?xml version="1.0" encoding="utf-8"?>
<sst xmlns="http://schemas.openxmlformats.org/spreadsheetml/2006/main" count="1450" uniqueCount="543">
  <si>
    <t>SchemaName</t>
  </si>
  <si>
    <t>TableName</t>
  </si>
  <si>
    <t>ObjectType</t>
  </si>
  <si>
    <t>ColumnName</t>
  </si>
  <si>
    <t>DataType</t>
  </si>
  <si>
    <t>IsNullable</t>
  </si>
  <si>
    <t>Description and Sample Value</t>
  </si>
  <si>
    <t>Description (Enhanced)</t>
  </si>
  <si>
    <t>Possible Values</t>
  </si>
  <si>
    <t>Corrected DataType</t>
  </si>
  <si>
    <t>Corrected TableName</t>
  </si>
  <si>
    <t>Corrected ColumnName</t>
  </si>
  <si>
    <t>Total Records</t>
  </si>
  <si>
    <t>Count not null</t>
  </si>
  <si>
    <t>% not null</t>
  </si>
  <si>
    <t>When this column is last updated</t>
  </si>
  <si>
    <t>Comments (Steve &amp; Karthik)</t>
  </si>
  <si>
    <t>list of payers for which this column is applicable?</t>
  </si>
  <si>
    <t>Can this column data vary from payer to payer?</t>
  </si>
  <si>
    <t>dbo</t>
  </si>
  <si>
    <t>DailyCensus</t>
  </si>
  <si>
    <t>Table</t>
  </si>
  <si>
    <t>ID</t>
  </si>
  <si>
    <t>int</t>
  </si>
  <si>
    <t>Unique auto-increment identifier for each daily census record</t>
  </si>
  <si>
    <t>Positive integers</t>
  </si>
  <si>
    <t>INT (PK, NOT NULL, IDENTITY)</t>
  </si>
  <si>
    <t>Daily_Census</t>
  </si>
  <si>
    <t>Record_ID</t>
  </si>
  <si>
    <t>RecordSource</t>
  </si>
  <si>
    <t>varchar</t>
  </si>
  <si>
    <t>Source system or ADT feed that generated this census record</t>
  </si>
  <si>
    <t>ADT Feed', 'Manual Entry', 'HIE', 'Facility Report'</t>
  </si>
  <si>
    <t>VARCHAR</t>
  </si>
  <si>
    <t>Census_Record_Source</t>
  </si>
  <si>
    <t>AdmissionDate</t>
  </si>
  <si>
    <t>Date the patient was admitted to the facility</t>
  </si>
  <si>
    <t>Date format (e.g., '2024-01-15')</t>
  </si>
  <si>
    <t>DATE</t>
  </si>
  <si>
    <t>Admission_Date</t>
  </si>
  <si>
    <t>AdmissionReason</t>
  </si>
  <si>
    <t>Primary reason or chief complaint for the hospital admission</t>
  </si>
  <si>
    <t>Free-text (e.g., 'CHF Exacerbation', 'Pneumonia', 'Fall with Hip Fracture')</t>
  </si>
  <si>
    <t>Admission_Reason</t>
  </si>
  <si>
    <t>AdmitTime</t>
  </si>
  <si>
    <t>Time of day the patient was admitted</t>
  </si>
  <si>
    <t>Time format (e.g., '14:30', '08:00')</t>
  </si>
  <si>
    <t>TIME / VARCHAR</t>
  </si>
  <si>
    <t>Admission_Time</t>
  </si>
  <si>
    <t>AdmittingPhyFirstName</t>
  </si>
  <si>
    <t>First name of the admitting physician</t>
  </si>
  <si>
    <t>Free-text name</t>
  </si>
  <si>
    <t>Admitting_Physician_First_Name</t>
  </si>
  <si>
    <t>AdmittingPhyLastName</t>
  </si>
  <si>
    <t>Last name of the admitting physician</t>
  </si>
  <si>
    <t>Admitting_Physician_Last_Name</t>
  </si>
  <si>
    <t>AdmittingPhyNPI</t>
  </si>
  <si>
    <t>National Provider Identifier (NPI) of the admitting physician</t>
  </si>
  <si>
    <t>10-digit NPI (e.g., '1234567890')</t>
  </si>
  <si>
    <t>VARCHAR(10)</t>
  </si>
  <si>
    <t>Admitting_Physician_NPI</t>
  </si>
  <si>
    <t>AdmitType</t>
  </si>
  <si>
    <t>Type/priority of the admission</t>
  </si>
  <si>
    <t>Emergency', 'Urgent', 'Elective', 'Newborn', 'Trauma'</t>
  </si>
  <si>
    <t>Admission_Type</t>
  </si>
  <si>
    <t>AttendingPhyFirstName</t>
  </si>
  <si>
    <t>First name of the attending physician responsible for ongoing inpatient care</t>
  </si>
  <si>
    <t>Attending_Physician_First_Name</t>
  </si>
  <si>
    <t>AttendingPhyLastName</t>
  </si>
  <si>
    <t>Last name of the attending physician</t>
  </si>
  <si>
    <t>Attending_Physician_Last_Name</t>
  </si>
  <si>
    <t>AttendingPhyNPI</t>
  </si>
  <si>
    <t>NPI of the attending physician</t>
  </si>
  <si>
    <t>10-digit NPI</t>
  </si>
  <si>
    <t>Attending_Physician_NPI</t>
  </si>
  <si>
    <t>ChiefComplaint</t>
  </si>
  <si>
    <t>Patient's presenting chief complaint or reason for the encounter</t>
  </si>
  <si>
    <t>Free-text (e.g., 'Shortness of breath', 'Chest pain', 'Abdominal pain')</t>
  </si>
  <si>
    <t>Chief_Complaint</t>
  </si>
  <si>
    <t>CreateDate</t>
  </si>
  <si>
    <t>Date this census record was created in the system</t>
  </si>
  <si>
    <t>Date format</t>
  </si>
  <si>
    <t>Record_Create_Date</t>
  </si>
  <si>
    <t>DeathIndicatorFlag</t>
  </si>
  <si>
    <t>Flag indicating whether the patient died during this admission</t>
  </si>
  <si>
    <t>Y' (Yes), 'N' (No), NULL</t>
  </si>
  <si>
    <t>VARCHAR(1) / BIT</t>
  </si>
  <si>
    <t>Death_Indicator_Flag</t>
  </si>
  <si>
    <t>DeliveryFlag</t>
  </si>
  <si>
    <t>Flag indicating whether this admission involved a delivery (obstetric)</t>
  </si>
  <si>
    <t>Obstetric_Delivery_Flag</t>
  </si>
  <si>
    <t>DiagnosisList</t>
  </si>
  <si>
    <t>Delimited list of ICD-10 diagnosis codes associated with this admission</t>
  </si>
  <si>
    <t>Semicolon/comma-delimited ICD-10 codes (e.g., 'I50.9;J18.9;E11.65')</t>
  </si>
  <si>
    <t>VARCHAR(MAX)</t>
  </si>
  <si>
    <t>Diagnosis_ICD_Code_List</t>
  </si>
  <si>
    <t>DischargeDate</t>
  </si>
  <si>
    <t>Date the patient was discharged from the facility</t>
  </si>
  <si>
    <t>Date format or NULL if still admitted</t>
  </si>
  <si>
    <t>Discharge_Date</t>
  </si>
  <si>
    <t>EnrollmentDate</t>
  </si>
  <si>
    <t>Date the member enrolled in the managed care plan or Health Home</t>
  </si>
  <si>
    <t>Plan_Enrollment_Date</t>
  </si>
  <si>
    <t>NULL</t>
  </si>
  <si>
    <t>KS: This column was never filled up, I don't find value in this field</t>
  </si>
  <si>
    <t>EventDate</t>
  </si>
  <si>
    <t>Date of the ADT event (admission, discharge, or transfer)</t>
  </si>
  <si>
    <t>ADT_Event_Date</t>
  </si>
  <si>
    <t>EventType</t>
  </si>
  <si>
    <t>Type of ADT event that triggered this census record</t>
  </si>
  <si>
    <t>Admission', 'Discharge', 'Transfer', 'Registration', 'ED Visit'</t>
  </si>
  <si>
    <t>ADT_Event_Type</t>
  </si>
  <si>
    <t>Facility</t>
  </si>
  <si>
    <t>Name of the hospital/facility where the patient is admitted</t>
  </si>
  <si>
    <t>Free-text (e.g., 'Albany Medical Center', 'Strong Memorial')</t>
  </si>
  <si>
    <t>Facility_Name</t>
  </si>
  <si>
    <t>GroupName</t>
  </si>
  <si>
    <t>Insurance group or IPA group name for the member</t>
  </si>
  <si>
    <t>Free-text (e.g., 'CINQ Care', 'AIP')</t>
  </si>
  <si>
    <t>Insurance_Group_Name</t>
  </si>
  <si>
    <t>HarpEligibleFlag</t>
  </si>
  <si>
    <t>Flag indicating if the member is eligible for Health and Recovery Plan (HARP) — NYS Medicaid behavioral health</t>
  </si>
  <si>
    <t>HARP_Eligible_Flag</t>
  </si>
  <si>
    <t>HeadInBed</t>
  </si>
  <si>
    <t>Indicator of whether the patient is currently physically present (head in bed) at the facility</t>
  </si>
  <si>
    <t>Y' (Yes), 'N' (No)</t>
  </si>
  <si>
    <t>VARCHAR(1)</t>
  </si>
  <si>
    <t>Head_In_Bed_Indicator</t>
  </si>
  <si>
    <t>HealthHomeEnrolled</t>
  </si>
  <si>
    <t>Indicator of whether the member is enrolled in a Health Home program</t>
  </si>
  <si>
    <t>Health_Home_Enrolled_Flag</t>
  </si>
  <si>
    <t>HealthHomesPlusEligibleFlag</t>
  </si>
  <si>
    <t>Flag indicating eligibility for Health Home Plus (enhanced services for high-need members)</t>
  </si>
  <si>
    <t>0 (No), 1 (Yes)</t>
  </si>
  <si>
    <t>BIT/BOOLEAN</t>
  </si>
  <si>
    <t>Health_Home_Plus_Eligible_Flag</t>
  </si>
  <si>
    <t>HealthHomeStatus</t>
  </si>
  <si>
    <t>Current Health Home enrollment status code</t>
  </si>
  <si>
    <t>Status code (e.g., 0 = Not Enrolled, 1 = Enrolled, 2 = Pending)</t>
  </si>
  <si>
    <t>INT</t>
  </si>
  <si>
    <t>Health_Home_Enrollment_Status</t>
  </si>
  <si>
    <t>InsuranceIDPrimary</t>
  </si>
  <si>
    <t>Member's primary insurance subscriber/member ID number</t>
  </si>
  <si>
    <t>Alphanumeric (e.g., 'XYZ123456789')</t>
  </si>
  <si>
    <t>Primary_Insurance_Member_ID</t>
  </si>
  <si>
    <t>InsuranceIDSecondary</t>
  </si>
  <si>
    <t>Member's secondary insurance subscriber/member ID number, if applicable</t>
  </si>
  <si>
    <t>Alphanumeric or NULL</t>
  </si>
  <si>
    <t>Secondary_Insurance_Member_ID</t>
  </si>
  <si>
    <t>InsuranceNamePrimary</t>
  </si>
  <si>
    <t>Name of the member's primary insurance carrier</t>
  </si>
  <si>
    <t>Fidelis Care', 'Molina', 'Humana', 'UnitedHealthcare', 'Medicare FFS'</t>
  </si>
  <si>
    <t>Primary_Insurance_Carrier_Name</t>
  </si>
  <si>
    <t>InsuranceNameSecondary</t>
  </si>
  <si>
    <t>Name of the member's secondary insurance carrier, if applicable</t>
  </si>
  <si>
    <t>Insurance name or NULL</t>
  </si>
  <si>
    <t>Secondary_Insurance_Carrier_Name</t>
  </si>
  <si>
    <t>LastContact</t>
  </si>
  <si>
    <t>Date of last outreach/contact with the member or caregiver</t>
  </si>
  <si>
    <t>Last_Member_Contact_Date</t>
  </si>
  <si>
    <t>MedentIDGBU</t>
  </si>
  <si>
    <t>Medent EMR system identifier for Greater Buffalo United IPA</t>
  </si>
  <si>
    <t>Alphanumeric</t>
  </si>
  <si>
    <t>Medent_EMR_ID_GBU</t>
  </si>
  <si>
    <t>MemberAddress1</t>
  </si>
  <si>
    <t>Member's primary street address</t>
  </si>
  <si>
    <t>Free-text (e.g., '123 Main St')</t>
  </si>
  <si>
    <t>Member_Street_Address_Line_1</t>
  </si>
  <si>
    <t>MemberAddress2</t>
  </si>
  <si>
    <t>Member's secondary address line (apt, suite, etc.)</t>
  </si>
  <si>
    <t>Free-text or NULL</t>
  </si>
  <si>
    <t>Member_Street_Address_Line_2</t>
  </si>
  <si>
    <t>MemberCity</t>
  </si>
  <si>
    <t>Member's city of residence</t>
  </si>
  <si>
    <t>Free-text (e.g., 'Albany', 'Buffalo')</t>
  </si>
  <si>
    <t>Member_City</t>
  </si>
  <si>
    <t>MemberCounty</t>
  </si>
  <si>
    <t>Member's county of residence</t>
  </si>
  <si>
    <t>County name (e.g., 'Albany', 'Erie', 'Monroe')</t>
  </si>
  <si>
    <t>Member_County</t>
  </si>
  <si>
    <t>MemberDateOfBirth</t>
  </si>
  <si>
    <t>Member's date of birth</t>
  </si>
  <si>
    <t>Date format (e.g., '1955-03-15')</t>
  </si>
  <si>
    <t>Member_Date_Of_Birth</t>
  </si>
  <si>
    <t>MemberEmail</t>
  </si>
  <si>
    <t>Member's email address</t>
  </si>
  <si>
    <t>Email format (e.g., 'member@email.com')</t>
  </si>
  <si>
    <t>Member_Email_Address</t>
  </si>
  <si>
    <t>MemberFirstName</t>
  </si>
  <si>
    <t>Member's first name</t>
  </si>
  <si>
    <t>Free-text</t>
  </si>
  <si>
    <t>Member_First_Name</t>
  </si>
  <si>
    <t>MemberID</t>
  </si>
  <si>
    <t>Member ID from the insurance/source system (not necessarily OurID)</t>
  </si>
  <si>
    <t>Member_Source_System_ID</t>
  </si>
  <si>
    <t>MemberLastName</t>
  </si>
  <si>
    <t>Member's last name</t>
  </si>
  <si>
    <t>Member_Last_Name</t>
  </si>
  <si>
    <t>MemberMedicaidNumber</t>
  </si>
  <si>
    <t>Member's Medicaid Client Identification Number (CIN)</t>
  </si>
  <si>
    <t>Alphanumeric CIN (e.g., 'AB12345C')</t>
  </si>
  <si>
    <t>Member_Medicaid_CIN</t>
  </si>
  <si>
    <t>MemberPhoneNumber</t>
  </si>
  <si>
    <t>Member's phone number</t>
  </si>
  <si>
    <t>10-digit format (e.g., '5185551234')</t>
  </si>
  <si>
    <t>Member_Phone_Number</t>
  </si>
  <si>
    <t>MemberProduct</t>
  </si>
  <si>
    <t>Insurance product/plan the member is enrolled in</t>
  </si>
  <si>
    <t>HMO', 'DSNP', 'HARP', 'ISNP', 'Medicaid Managed Care'</t>
  </si>
  <si>
    <t>Member_Insurance_Product</t>
  </si>
  <si>
    <t>MemberRaceEthnicity</t>
  </si>
  <si>
    <t>Member's self-reported race and/or ethnicity</t>
  </si>
  <si>
    <t>White', 'Black', 'Hispanic', 'Asian', 'Unknown', etc.</t>
  </si>
  <si>
    <t>Member_Race_Ethnicity</t>
  </si>
  <si>
    <t>MemberSex</t>
  </si>
  <si>
    <t>Member's sex/gender</t>
  </si>
  <si>
    <t>M' (Male), 'F' (Female), 'U' (Unknown)</t>
  </si>
  <si>
    <t>Member_Biological_Sex</t>
  </si>
  <si>
    <t>MemberState</t>
  </si>
  <si>
    <t>Member's state of residence</t>
  </si>
  <si>
    <t>2-letter state code (e.g., 'NY')</t>
  </si>
  <si>
    <t>VARCHAR(2)</t>
  </si>
  <si>
    <t>Member_State_Code</t>
  </si>
  <si>
    <t>MemberZipCode</t>
  </si>
  <si>
    <t>Member's ZIP code</t>
  </si>
  <si>
    <t>5-digit or 9-digit ZIP</t>
  </si>
  <si>
    <t>Member_ZIP_Code</t>
  </si>
  <si>
    <t>PatientIdentifier</t>
  </si>
  <si>
    <t>Unique patient identifier from the source/facility system (e.g., MRN)</t>
  </si>
  <si>
    <t>Facility_Patient_Identifier</t>
  </si>
  <si>
    <t>Practice</t>
  </si>
  <si>
    <t>Name of the primary care practice managing the member</t>
  </si>
  <si>
    <t>Free-text (e.g., 'Albany Family Health')</t>
  </si>
  <si>
    <t>Primary_Care_Practice_Name</t>
  </si>
  <si>
    <t>PregnancyFlag</t>
  </si>
  <si>
    <t>Flag indicating whether the member is currently pregnant</t>
  </si>
  <si>
    <t>Pregnancy_Flag</t>
  </si>
  <si>
    <t>ProviderName</t>
  </si>
  <si>
    <t>Name of the member's assigned primary care provider</t>
  </si>
  <si>
    <t>Free-text (e.g., 'Dr. John Smith')</t>
  </si>
  <si>
    <t>Primary_Care_Provider_Name</t>
  </si>
  <si>
    <t>QuintileRankforRAWRISKSCORE</t>
  </si>
  <si>
    <t>Quintile ranking (1-5) based on the member's raw risk score</t>
  </si>
  <si>
    <t>1' (Lowest risk), '2', '3', '4', '5' (Highest risk)</t>
  </si>
  <si>
    <t>Risk_Score_Quintile_Rank</t>
  </si>
  <si>
    <t>RiskCat</t>
  </si>
  <si>
    <t>Overall risk category classification for the member</t>
  </si>
  <si>
    <t>Low', 'Medium', 'High', 'Very High'</t>
  </si>
  <si>
    <t>Overall_Risk_Category</t>
  </si>
  <si>
    <t>RiskCatCRG</t>
  </si>
  <si>
    <t>Risk category based on Clinical Risk Group (CRG) methodology</t>
  </si>
  <si>
    <t>1' - '9' or 'Low', 'Medium', 'High'</t>
  </si>
  <si>
    <t>CRG_Risk_Category</t>
  </si>
  <si>
    <t>RiskCatHCC</t>
  </si>
  <si>
    <t>Risk category based on Hierarchical Condition Category (HCC) model</t>
  </si>
  <si>
    <t>Low', 'Medium', 'High', or HCC risk score range</t>
  </si>
  <si>
    <t>HCC_Risk_Category</t>
  </si>
  <si>
    <t>SERVCAT01</t>
  </si>
  <si>
    <t>Service category level 1 — broad classification of the census event/service</t>
  </si>
  <si>
    <t>Category code/text</t>
  </si>
  <si>
    <t>Service_Category_Level_1</t>
  </si>
  <si>
    <t>SERVCAT02</t>
  </si>
  <si>
    <t>Service category level 2 — detailed classification of the census event/service</t>
  </si>
  <si>
    <t>Service_Category_Level_2</t>
  </si>
  <si>
    <t>TermDate</t>
  </si>
  <si>
    <t>Date the member's enrollment or Health Home participation was terminated</t>
  </si>
  <si>
    <t>Date format or NULL if active</t>
  </si>
  <si>
    <t>Enrollment_Termination_Date</t>
  </si>
  <si>
    <t>Top20HCC</t>
  </si>
  <si>
    <t>Indicator or list of the member's top 20 Hierarchical Condition Categories</t>
  </si>
  <si>
    <t>HCC codes or flag</t>
  </si>
  <si>
    <t>Top_20_HCC_Codes</t>
  </si>
  <si>
    <t>UniqueID</t>
  </si>
  <si>
    <t>Unique identifier for this census event from the source system</t>
  </si>
  <si>
    <t>Source_Unique_Event_ID</t>
  </si>
  <si>
    <t>VisitType</t>
  </si>
  <si>
    <t>Type of facility visit (inpatient, ED, observation, etc.)</t>
  </si>
  <si>
    <t>Inpatient', 'Emergency', 'Observation', 'Ambulatory Surgery'</t>
  </si>
  <si>
    <t>Facility_Visit_Type</t>
  </si>
  <si>
    <t>Discharge_Date_Expected</t>
  </si>
  <si>
    <t>Expected/estimated discharge date set by the care team</t>
  </si>
  <si>
    <t>Date format or NULL</t>
  </si>
  <si>
    <t>Expected_Discharge_Date</t>
  </si>
  <si>
    <t>Discharge_Date_Expected_EntryID</t>
  </si>
  <si>
    <t>User ID of the person who entered the expected discharge date</t>
  </si>
  <si>
    <t>Integer (User ID)</t>
  </si>
  <si>
    <t>Expected_Discharge_Date_Entry_User_ID</t>
  </si>
  <si>
    <t>Discharge_Date_Expected_LastEdit</t>
  </si>
  <si>
    <t>datetime</t>
  </si>
  <si>
    <t>Timestamp of the last edit to the expected discharge date field</t>
  </si>
  <si>
    <t>Datetime format</t>
  </si>
  <si>
    <t>DATETIME</t>
  </si>
  <si>
    <t>Expected_Discharge_Date_Last_Edit_DateTime</t>
  </si>
  <si>
    <t>Discharge_Date_Actual</t>
  </si>
  <si>
    <t>Actual discharge date confirmed by the facility/care team</t>
  </si>
  <si>
    <t>Actual_Discharge_Date</t>
  </si>
  <si>
    <t>Discharge_Date_EntryID</t>
  </si>
  <si>
    <t>User ID of the person who entered the actual discharge date</t>
  </si>
  <si>
    <t>Actual_Discharge_Date_Entry_User_ID</t>
  </si>
  <si>
    <t>Discharge_Date_LastEdit</t>
  </si>
  <si>
    <t>Timestamp of the last edit to the actual discharge date field</t>
  </si>
  <si>
    <t>Actual_Discharge_Date_Last_Edit_DateTime</t>
  </si>
  <si>
    <t>PHN_Contact</t>
  </si>
  <si>
    <t>Indicator of whether the Population Health Nurse (PHN) contacted the member/facility</t>
  </si>
  <si>
    <t>Y' (Yes), 'N' (No), 'Attempted', 'Voicemail'</t>
  </si>
  <si>
    <t>PHN_Contact_Status</t>
  </si>
  <si>
    <t>KS:  Is this related to the Patient Health Network...I would say we don't need to bring this into the new format b/c of the old update date.</t>
  </si>
  <si>
    <t>PHN_Contact_Date</t>
  </si>
  <si>
    <t>Date the PHN made contact with the member</t>
  </si>
  <si>
    <t>PHN_Contact_EntryID</t>
  </si>
  <si>
    <t>User ID of the person who recorded the PHN contact</t>
  </si>
  <si>
    <t>PHN_Contact_Entry_User_ID</t>
  </si>
  <si>
    <t>PHN_Contact_LastEdit</t>
  </si>
  <si>
    <t>Timestamp of the last edit to the PHN contact field</t>
  </si>
  <si>
    <t>PHN_Contact_Last_Edit_DateTime</t>
  </si>
  <si>
    <t>MD_Visit_Scheduled</t>
  </si>
  <si>
    <t>Indicator of whether a follow-up MD visit has been scheduled post-discharge</t>
  </si>
  <si>
    <t>Y' (Yes), 'N' (No), 'Pending'</t>
  </si>
  <si>
    <t>MD_Follow_Up_Visit_Scheduled_Flag</t>
  </si>
  <si>
    <t>MD_Visit_Scheduled_Date</t>
  </si>
  <si>
    <t>Date the follow-up MD visit is scheduled for</t>
  </si>
  <si>
    <t>MD_Follow_Up_Visit_Scheduled_Date</t>
  </si>
  <si>
    <t>MD_Visit_Scheduled_EntryID</t>
  </si>
  <si>
    <t>User ID of the person who recorded the scheduled MD visit</t>
  </si>
  <si>
    <t>MD_Follow_Up_Visit_Scheduled_Entry_User_ID</t>
  </si>
  <si>
    <t>MD_Visit_Scheduled_LastEdit</t>
  </si>
  <si>
    <t>Timestamp of the last edit to the MD visit scheduled field</t>
  </si>
  <si>
    <t>MD_Follow_Up_Visit_Scheduled_Last_Edit_DateTime</t>
  </si>
  <si>
    <t>MD_Visit_Date</t>
  </si>
  <si>
    <t>Actual date the follow-up MD visit occurred</t>
  </si>
  <si>
    <t>MD_Follow_Up_Visit_Actual_Date</t>
  </si>
  <si>
    <t>MD_Visit_Date_EntryID</t>
  </si>
  <si>
    <t>User ID of the person who recorded the MD visit date</t>
  </si>
  <si>
    <t>MD_Follow_Up_Visit_Actual_Entry_User_ID</t>
  </si>
  <si>
    <t>MD_Visit_Date_LastEdit</t>
  </si>
  <si>
    <t>Timestamp of the last edit to the MD visit date field</t>
  </si>
  <si>
    <t>MD_Follow_Up_Visit_Actual_Last_Edit_DateTime</t>
  </si>
  <si>
    <t>Medication_Reconcilliation</t>
  </si>
  <si>
    <t>Indicator of whether medication reconciliation was completed post-discharge</t>
  </si>
  <si>
    <t>Y' (Completed), 'N' (Not Completed), 'In Progress'</t>
  </si>
  <si>
    <t>Medication_Reconciliation_Status</t>
  </si>
  <si>
    <t>KS: We are collecting this data from MEDENT reports. Need to confirm if the data is coming in from the MEDENT report</t>
  </si>
  <si>
    <t>Med_Recon_EntryID</t>
  </si>
  <si>
    <t>User ID of the person who recorded the medication reconciliation status</t>
  </si>
  <si>
    <t>Medication_Reconciliation_Entry_User_ID</t>
  </si>
  <si>
    <t>Med_Recon_LastEdit</t>
  </si>
  <si>
    <t>Timestamp of the last edit to the medication reconciliation field</t>
  </si>
  <si>
    <t>Medication_Reconciliation_Last_Edit_DateTime</t>
  </si>
  <si>
    <t>Transition_of_Care</t>
  </si>
  <si>
    <t>Indicator of whether a Transition of Care (TOC) was completed</t>
  </si>
  <si>
    <t>Transition_Of_Care_Status</t>
  </si>
  <si>
    <t>TOC_EntryID</t>
  </si>
  <si>
    <t>User ID of the person who recorded the TOC status</t>
  </si>
  <si>
    <t>Transition_Of_Care_Entry_User_ID</t>
  </si>
  <si>
    <t>TOC_LastEdit</t>
  </si>
  <si>
    <t>Timestamp of the last edit to the TOC field</t>
  </si>
  <si>
    <t>Transition_Of_Care_Last_Edit_DateTime</t>
  </si>
  <si>
    <t>Disch_Summary_Medent_Upload</t>
  </si>
  <si>
    <t>Indicator of whether the discharge summary was uploaded to Medent EMR</t>
  </si>
  <si>
    <t>Y' (Uploaded), 'N' (Not Uploaded), 'Pending'</t>
  </si>
  <si>
    <t>Discharge_Summary_Medent_Upload_Status</t>
  </si>
  <si>
    <t>KS: I believe this data was coming in from the MEDENT report that is no longer coming in. If this is needed, we can bring them into the cinq table into the encounter_cinq_ext table</t>
  </si>
  <si>
    <t>DISCH_EntryID</t>
  </si>
  <si>
    <t>User ID of the person who recorded the discharge summary upload status</t>
  </si>
  <si>
    <t>Discharge_Summary_Upload_Entry_User_ID</t>
  </si>
  <si>
    <t>DISCH_LastEdit</t>
  </si>
  <si>
    <t>Timestamp of the last edit to the discharge summary upload field</t>
  </si>
  <si>
    <t>Discharge_Summary_Upload_Last_Edit_DateTime</t>
  </si>
  <si>
    <t>DME_Needed</t>
  </si>
  <si>
    <t>Indicator of whether Durable Medical Equipment is needed post-discharge</t>
  </si>
  <si>
    <t>DME_Needed_Flag</t>
  </si>
  <si>
    <t>KS: If this is needed, we can bring them into the cinq table into the encounter_cinq_ext table</t>
  </si>
  <si>
    <t>DME_Needed_Date</t>
  </si>
  <si>
    <t>Date when the DME need was identified</t>
  </si>
  <si>
    <t>DME_Needed_Identified_Date</t>
  </si>
  <si>
    <t>DME_Needed_EntryID</t>
  </si>
  <si>
    <t>User ID of the person who recorded the DME need</t>
  </si>
  <si>
    <t>DME_Needed_Entry_User_ID</t>
  </si>
  <si>
    <t>DME_Needed_LastEdit</t>
  </si>
  <si>
    <t>Timestamp of the last edit to the DME needed field</t>
  </si>
  <si>
    <t>DME_Needed_Last_Edit_DateTime</t>
  </si>
  <si>
    <t>DME_Ordered</t>
  </si>
  <si>
    <t>Indicator of whether DME has been ordered</t>
  </si>
  <si>
    <t>Y' (Ordered), 'N' (Not Ordered)</t>
  </si>
  <si>
    <t>DME_Ordered_Flag</t>
  </si>
  <si>
    <t>DME_Ordered_Date</t>
  </si>
  <si>
    <t>Date the DME was ordered</t>
  </si>
  <si>
    <t>DME_Ordered_EntryID</t>
  </si>
  <si>
    <t>User ID of the person who recorded the DME order</t>
  </si>
  <si>
    <t>DME_Ordered_Entry_User_ID</t>
  </si>
  <si>
    <t>DME_Ordered_LastEdit</t>
  </si>
  <si>
    <t>Timestamp of the last edit to the DME ordered field</t>
  </si>
  <si>
    <t>DME_Ordered_Last_Edit_DateTime</t>
  </si>
  <si>
    <t>DME_Received</t>
  </si>
  <si>
    <t>Indicator of whether the DME has been received by the member</t>
  </si>
  <si>
    <t>Y' (Received), 'N' (Not Received)</t>
  </si>
  <si>
    <t>DME_Received_Flag</t>
  </si>
  <si>
    <t>DME_Received_Date</t>
  </si>
  <si>
    <t>Date the DME was received by the member</t>
  </si>
  <si>
    <t>DME_Received_EntryID</t>
  </si>
  <si>
    <t>User ID of the person who recorded DME receipt</t>
  </si>
  <si>
    <t>DME_Received_Entry_User_ID</t>
  </si>
  <si>
    <t>DME_Received_LastEdit</t>
  </si>
  <si>
    <t>Timestamp of the last edit to the DME received field</t>
  </si>
  <si>
    <t>DME_Received_Last_Edit_DateTime</t>
  </si>
  <si>
    <t>SDOH_Screened</t>
  </si>
  <si>
    <t>Indicator of whether the member was screened for Social Determinants of Health (SDOH)</t>
  </si>
  <si>
    <t>Y' (Screened), 'N' (Not Screened)</t>
  </si>
  <si>
    <t>SDOH_Screening_Completed_Flag</t>
  </si>
  <si>
    <t>KS: Medent SDOH has changed multiple times. Is this coming in from there?</t>
  </si>
  <si>
    <t>SDOH_Screened_Date</t>
  </si>
  <si>
    <t>Date the SDOH screening was performed</t>
  </si>
  <si>
    <t>SDOH_Screening_Date</t>
  </si>
  <si>
    <t>SDOH_Screened_EntryID</t>
  </si>
  <si>
    <t>User ID of the person who recorded the SDOH screening</t>
  </si>
  <si>
    <t>SDOH_Screening_Entry_User_ID</t>
  </si>
  <si>
    <t>SDOH_Screened_LastEdit</t>
  </si>
  <si>
    <t>Timestamp of the last edit to the SDOH screened field</t>
  </si>
  <si>
    <t>SDOH_Screening_Last_Edit_DateTime</t>
  </si>
  <si>
    <t>SDOH_Needed</t>
  </si>
  <si>
    <t>Indicator of whether SDOH interventions are needed based on screening results</t>
  </si>
  <si>
    <t>Y' (Needed), 'N' (Not Needed)</t>
  </si>
  <si>
    <t>SDOH_Intervention_Needed_Flag</t>
  </si>
  <si>
    <t>SDOH_Needed_Date</t>
  </si>
  <si>
    <t>Date when SDOH need was identified</t>
  </si>
  <si>
    <t>SDOH_Intervention_Needed_Date</t>
  </si>
  <si>
    <t>SDOH_Needed_EntryID</t>
  </si>
  <si>
    <t>User ID of the person who recorded the SDOH need</t>
  </si>
  <si>
    <t>SDOH_Intervention_Needed_Entry_User_ID</t>
  </si>
  <si>
    <t>SDOH_Needed_LastEdit</t>
  </si>
  <si>
    <t>Timestamp of the last edit to the SDOH needed field</t>
  </si>
  <si>
    <t>SDOH_Intervention_Needed_Last_Edit_DateTime</t>
  </si>
  <si>
    <t>SDOH_Filled</t>
  </si>
  <si>
    <t>Indicator of whether the identified SDOH need/referral has been fulfilled</t>
  </si>
  <si>
    <t>Y' (Filled), 'N' (Not Filled)</t>
  </si>
  <si>
    <t>SDOH_Referral_Fulfilled_Flag</t>
  </si>
  <si>
    <t>SDOH_Filled_Date</t>
  </si>
  <si>
    <t>Date the SDOH referral/need was fulfilled</t>
  </si>
  <si>
    <t>SDOH_Referral_Fulfilled_Date</t>
  </si>
  <si>
    <t>SDOH_Filled_EntryID</t>
  </si>
  <si>
    <t>User ID of the person who recorded SDOH fulfillment</t>
  </si>
  <si>
    <t>SDOH_Referral_Fulfilled_Entry_User_ID</t>
  </si>
  <si>
    <t>SDOH_Filled_LastEdit</t>
  </si>
  <si>
    <t>Timestamp of the last edit to the SDOH filled field</t>
  </si>
  <si>
    <t>SDOH_Referral_Fulfilled_Last_Edit_DateTime</t>
  </si>
  <si>
    <t>No_Visit_Reason</t>
  </si>
  <si>
    <t>Reason why the post-discharge MD follow-up visit did not occur</t>
  </si>
  <si>
    <t>Deceased', 'Refused', 'Readmitted', 'Unable to Contact', 'Transferred', 'Other'</t>
  </si>
  <si>
    <t>No_MD_Visit_Reason</t>
  </si>
  <si>
    <t>No_Visit_Reason_EntryID</t>
  </si>
  <si>
    <t>User ID of the person who recorded the no-visit reason</t>
  </si>
  <si>
    <t>No_MD_Visit_Reason_Entry_User_ID</t>
  </si>
  <si>
    <t>No_Visit_Reason_LastEdit</t>
  </si>
  <si>
    <t>Timestamp of the last edit to the no-visit reason field</t>
  </si>
  <si>
    <t>No_MD_Visit_Reason_Last_Edit_DateTime</t>
  </si>
  <si>
    <t>PHN_Assigned</t>
  </si>
  <si>
    <t>Name or identifier of the Population Health Nurse assigned to this member/admission</t>
  </si>
  <si>
    <t>Free-text (e.g., 'Jane Smith, RN')</t>
  </si>
  <si>
    <t>Assigned_Population_Health_Nurse</t>
  </si>
  <si>
    <t>DischargeDispositionCode</t>
  </si>
  <si>
    <t>Code indicating the patient's discharge disposition/destination</t>
  </si>
  <si>
    <t>01' (Home), '02' (Acute Care), '03' (SNF), '04' (ICF), '06' (Home Health), '20' (Expired), '30' (Still patient), '62' (Rehab), '65' (Psych)</t>
  </si>
  <si>
    <t>Discharge_Disposition_Code</t>
  </si>
  <si>
    <t>SubmittedByID</t>
  </si>
  <si>
    <t>User ID of the staff member who submitted/created this census record</t>
  </si>
  <si>
    <t>Submitted_By_User_ID</t>
  </si>
  <si>
    <t>KS: This column was only filled up 3 times back in 2024, I don't find value in this field</t>
  </si>
  <si>
    <t>SubmittedDate</t>
  </si>
  <si>
    <t>Date and time when this census record was submitted</t>
  </si>
  <si>
    <t>Record_Submitted_DateTime</t>
  </si>
  <si>
    <t>CurrentFileFlag</t>
  </si>
  <si>
    <t>Flag indicating whether this record is from the most current/latest census file</t>
  </si>
  <si>
    <t>0 (Historical), 1 (Current)</t>
  </si>
  <si>
    <t>Current_Census_File_Flag</t>
  </si>
  <si>
    <t>Region</t>
  </si>
  <si>
    <t>Geographic region or service area the member belongs to</t>
  </si>
  <si>
    <t>Capital Region', 'Western NY', 'Central NY', 'Hudson Valley'</t>
  </si>
  <si>
    <t>Geographic_Service_Region</t>
  </si>
  <si>
    <t>Business_Hours</t>
  </si>
  <si>
    <t>Indicator of whether the admission/event occurred during business hours</t>
  </si>
  <si>
    <t>Y' (Business Hours), 'N' (After Hours)'</t>
  </si>
  <si>
    <t>Business_Hours_Admission_Flag</t>
  </si>
  <si>
    <t>IPA</t>
  </si>
  <si>
    <t>Independent Practice Association the member is attributed to</t>
  </si>
  <si>
    <t>CINQ Care', 'AIP', 'GBU', etc.</t>
  </si>
  <si>
    <t>IPA_Attribution</t>
  </si>
  <si>
    <t>OurID</t>
  </si>
  <si>
    <t>Identifier associated with the specific member.</t>
  </si>
  <si>
    <t>Foreign key linking to Members.OurID — identifies the member associated with this census record</t>
  </si>
  <si>
    <t>Positive integer matching Members.OurID</t>
  </si>
  <si>
    <t>INT (FK)</t>
  </si>
  <si>
    <t>Member_Internal_ID</t>
  </si>
  <si>
    <t>Clinical_Pharmacy_Program</t>
  </si>
  <si>
    <t>Flag indicating if the member is enrolled in a clinical pharmacy program (e.g., MTM)</t>
  </si>
  <si>
    <t>Clinical_Pharmacy_Program_Flag</t>
  </si>
  <si>
    <t>KS: This column hasn't been filled since 2023, I don't find value to include it in Silver ODS</t>
  </si>
  <si>
    <t>MD_Scheduled_Status</t>
  </si>
  <si>
    <t>Status of the scheduled MD follow-up visit</t>
  </si>
  <si>
    <t>Scheduled', 'Confirmed', 'Cancelled', 'No-Show', 'Pending'</t>
  </si>
  <si>
    <t>MD_Follow_Up_Scheduled_Status</t>
  </si>
  <si>
    <t>MD_Visit_Status</t>
  </si>
  <si>
    <t>Status of the actual MD follow-up visit</t>
  </si>
  <si>
    <t>Completed', 'No-Show', 'Cancelled', 'Rescheduled', 'Pending'</t>
  </si>
  <si>
    <t>MD_Follow_Up_Visit_Status</t>
  </si>
  <si>
    <t>Active_RxLive</t>
  </si>
  <si>
    <t>Flag indicating active enrollment in RxLive clinical pharmacy/MTM program</t>
  </si>
  <si>
    <t>0 (Inactive), 1 (Active)</t>
  </si>
  <si>
    <t>Is_Active_RxLive_Flag</t>
  </si>
  <si>
    <t>Active_Vesta</t>
  </si>
  <si>
    <t>Flag indicating active enrollment with Vesta Healthcare in-home care platform</t>
  </si>
  <si>
    <t>Is_Active_Vesta_Flag</t>
  </si>
  <si>
    <t>Readmit_30</t>
  </si>
  <si>
    <t>Flag indicating whether this admission is a readmission within 30 days of a prior discharge</t>
  </si>
  <si>
    <t>Readmission_Within_30_Days_Flag</t>
  </si>
  <si>
    <t>Readmit_15</t>
  </si>
  <si>
    <t>Flag indicating whether this admission is a readmission within 15 days of a prior discharge</t>
  </si>
  <si>
    <t>Readmission_Within_15_Days_Flag</t>
  </si>
  <si>
    <t>Readmit_7</t>
  </si>
  <si>
    <t>Flag indicating whether this admission is a readmission within 7 days of a prior discharge</t>
  </si>
  <si>
    <t>Readmission_Within_7_Days_Flag</t>
  </si>
  <si>
    <t>POD_Assignment</t>
  </si>
  <si>
    <t>Pod/team assignment for the care coordination team managing this member</t>
  </si>
  <si>
    <t>Pod name or code (e.g., 'Pod A', 'Team 1')</t>
  </si>
  <si>
    <t>Care_Team_Pod_Assignment</t>
  </si>
  <si>
    <t>Manager</t>
  </si>
  <si>
    <t>Name of the care management supervisor/manager overseeing this case</t>
  </si>
  <si>
    <t>Free-text (e.g., 'Sarah Johnson')</t>
  </si>
  <si>
    <t>Care_Management_Supervisor</t>
  </si>
  <si>
    <t>CC_Tracking_Flag</t>
  </si>
  <si>
    <t>Care Coordination tracking flag indicating this case is actively being tracked/managed</t>
  </si>
  <si>
    <t>0 (Not Tracked), 1 (Tracked)</t>
  </si>
  <si>
    <t>Care_Coordination_Tracking_Flag</t>
  </si>
  <si>
    <t>HealthEventType_Generated</t>
  </si>
  <si>
    <t>Pain Event', 'Infectious Event', 'Respiratory Event', 'Mental Health Event', 'Pregnancy Event', 'Skin Event', 'Cardiovascular Event', 'Orthopedic Event', 'Neurological Event', 'Renal Event', 'Gastroenterology Event', 'Diabetes Event', 'Surgical Event', 'Cancer Event', 'Endocrine Event', '' (blank), NULL</t>
  </si>
  <si>
    <t>KS: This column hasn't been updated in over 1.5 years. This looks like a tag coming in from a different source for each event type. While there is value in bringing this in for future updates. The directives should be coming in from business for this</t>
  </si>
  <si>
    <t>HealthEventType_Selected</t>
  </si>
  <si>
    <t xml:space="preserve"> 'Pregnancy Event', 'Mental Health Event', 'Surgical Event', 'Respiratory Event', 'Pain Event', 'Skin Event', 'Neurological Event', 'Cancer Event', NULL</t>
  </si>
  <si>
    <t>CaseAssignment_RiskType</t>
  </si>
  <si>
    <t>New_HRCM', 'GACenteneRISK', NULL</t>
  </si>
  <si>
    <t>CaseAssignment_RiskCalculation</t>
  </si>
  <si>
    <t>Critical', 'High', 'Moderate', 'Low', 'None', 'Null or N/A', '' (blank), NULL</t>
  </si>
  <si>
    <t>Vendor</t>
  </si>
  <si>
    <t>HEALTHE_LINK', 'HEALTHE_CONNECTIONS', 'BRONX_RHIO', 'PCC', 'PARTICLE_HEALTH', 'FIDELIS_UM', 'GARAGE', 'ENS', 'ADT_BATCH', 'CENTENE_IL_DISCHARGES', 'OPTUM_UM', 'AH_ENS', 'AH_DAILY_CENSUS', comma-delimited combinations of the above, 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</si>
</sst>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b/>
      <sz val="11"/>
      <color rgb="FFFFFFFF"/>
      <name val="Aptos Narrow"/>
      <family val="2"/>
      <scheme val="minor"/>
    </font>
    <font>
      <sz val="11"/>
      <color rgb="FF242424"/>
      <name val="Aptos Narrow"/>
      <charset val="1"/>
    </font>
  </fonts>
  <fills count="4">
    <fill>
      <patternFill patternType="none"/>
    </fill>
    <fill>
      <patternFill patternType="gray125"/>
    </fill>
    <fill>
      <patternFill patternType="solid">
        <fgColor rgb="FF4472C4"/>
        <bgColor indexed="64"/>
      </patternFill>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0" xfId="0" applyFont="1"/>
    <xf numFmtId="0" fontId="2" fillId="2" borderId="0" xfId="0" applyFont="1" applyFill="1"/>
    <xf numFmtId="0" fontId="0" fillId="3" borderId="1" xfId="0" applyFill="1" applyBorder="1" applyAlignment="1">
      <alignment wrapText="1"/>
    </xf>
    <xf numFmtId="0" fontId="0" fillId="0" borderId="0" xfId="0" applyAlignment="1">
      <alignment vertical="top" wrapText="1"/>
    </xf>
    <xf numFmtId="22" fontId="0" fillId="0" borderId="0" xfId="0" applyNumberFormat="1"/>
    <xf numFmtId="0" fontId="0" fillId="0" borderId="0" xfId="0" quotePrefix="1"/>
    <xf numFmtId="9" fontId="0" fillId="0" borderId="0" xfId="0" applyNumberFormat="1"/>
    <xf numFmtId="22" fontId="0" fillId="0" borderId="0" xfId="0" applyNumberFormat="1" applyAlignment="1">
      <alignment wrapText="1"/>
    </xf>
    <xf numFmtId="22" fontId="0" fillId="0" borderId="0" xfId="0" applyNumberFormat="1" applyAlignment="1">
      <alignment wrapText="1"/>
    </xf>
    <xf numFmtId="22" fontId="3" fillId="0" borderId="0" xfId="0" applyNumberFormat="1"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43"/>
  <sheetViews>
    <sheetView tabSelected="1" workbookViewId="0">
      <pane ySplit="1" topLeftCell="A148" activePane="bottomLeft" state="frozen"/>
      <selection pane="bottomLeft" activeCell="H72" sqref="H72"/>
    </sheetView>
  </sheetViews>
  <sheetFormatPr defaultRowHeight="15" customHeight="1"/>
  <cols>
    <col min="1" max="1" width="13.7109375" bestFit="1" customWidth="1"/>
    <col min="2" max="2" width="11.85546875" bestFit="1" customWidth="1"/>
    <col min="3" max="3" width="11.140625" bestFit="1" customWidth="1"/>
    <col min="4" max="4" width="32" bestFit="1" customWidth="1"/>
    <col min="5" max="5" width="9.42578125" bestFit="1" customWidth="1"/>
    <col min="6" max="6" width="10.28515625" bestFit="1" customWidth="1"/>
    <col min="7" max="7" width="42" bestFit="1" customWidth="1"/>
    <col min="8" max="8" width="97.85546875" bestFit="1" customWidth="1"/>
    <col min="9" max="9" width="62.85546875" customWidth="1"/>
    <col min="10" max="10" width="19.140625" bestFit="1" customWidth="1"/>
    <col min="11" max="11" width="20.85546875" bestFit="1" customWidth="1"/>
    <col min="12" max="12" width="47.5703125" bestFit="1" customWidth="1"/>
    <col min="14" max="14" width="13.7109375" customWidth="1"/>
    <col min="15" max="15" width="13.7109375" style="7" customWidth="1"/>
    <col min="16" max="16" width="31" customWidth="1"/>
    <col min="17" max="17" width="56.85546875" bestFit="1" customWidth="1"/>
    <col min="18" max="18" width="48.42578125" customWidth="1"/>
    <col min="19" max="19" width="40.42578125" customWidth="1"/>
  </cols>
  <sheetData>
    <row r="1" spans="1:19" ht="23.25" customHeight="1">
      <c r="A1" s="1" t="s">
        <v>0</v>
      </c>
      <c r="B1" s="1" t="s">
        <v>1</v>
      </c>
      <c r="C1" s="1" t="s">
        <v>2</v>
      </c>
      <c r="D1" s="1" t="s">
        <v>3</v>
      </c>
      <c r="E1" s="1" t="s">
        <v>4</v>
      </c>
      <c r="F1" s="1" t="s">
        <v>5</v>
      </c>
      <c r="G1" s="1" t="s">
        <v>6</v>
      </c>
      <c r="H1" s="2" t="s">
        <v>7</v>
      </c>
      <c r="I1" s="2" t="s">
        <v>8</v>
      </c>
      <c r="J1" s="2" t="s">
        <v>9</v>
      </c>
      <c r="K1" s="2" t="s">
        <v>10</v>
      </c>
      <c r="L1" s="2" t="s">
        <v>11</v>
      </c>
      <c r="M1" s="3" t="s">
        <v>12</v>
      </c>
      <c r="N1" s="3" t="s">
        <v>13</v>
      </c>
      <c r="O1" s="3" t="s">
        <v>14</v>
      </c>
      <c r="P1" s="3" t="s">
        <v>15</v>
      </c>
      <c r="Q1" s="3" t="s">
        <v>16</v>
      </c>
      <c r="R1" s="3" t="s">
        <v>17</v>
      </c>
      <c r="S1" s="3" t="s">
        <v>18</v>
      </c>
    </row>
    <row r="2" spans="1:19" ht="28.9">
      <c r="A2" t="s">
        <v>19</v>
      </c>
      <c r="B2" t="s">
        <v>20</v>
      </c>
      <c r="C2" t="s">
        <v>21</v>
      </c>
      <c r="D2" t="s">
        <v>22</v>
      </c>
      <c r="E2" t="s">
        <v>23</v>
      </c>
      <c r="F2">
        <v>0</v>
      </c>
      <c r="H2" s="4" t="s">
        <v>24</v>
      </c>
      <c r="I2" s="4" t="s">
        <v>25</v>
      </c>
      <c r="J2" s="4" t="s">
        <v>26</v>
      </c>
      <c r="K2" s="4" t="s">
        <v>27</v>
      </c>
      <c r="L2" s="4" t="s">
        <v>28</v>
      </c>
      <c r="M2">
        <v>698689</v>
      </c>
      <c r="N2">
        <v>698689</v>
      </c>
      <c r="O2" s="7">
        <f>IFERROR(N2/M2,0)</f>
        <v>1</v>
      </c>
      <c r="P2" s="5">
        <v>46129</v>
      </c>
      <c r="Q2" s="5"/>
    </row>
    <row r="3" spans="1:19" ht="14.45">
      <c r="A3" t="s">
        <v>19</v>
      </c>
      <c r="B3" t="s">
        <v>20</v>
      </c>
      <c r="C3" t="s">
        <v>21</v>
      </c>
      <c r="D3" t="s">
        <v>29</v>
      </c>
      <c r="E3" t="s">
        <v>30</v>
      </c>
      <c r="F3">
        <v>1</v>
      </c>
      <c r="H3" t="s">
        <v>31</v>
      </c>
      <c r="I3" s="6" t="s">
        <v>32</v>
      </c>
      <c r="J3" t="s">
        <v>33</v>
      </c>
      <c r="K3" t="s">
        <v>27</v>
      </c>
      <c r="L3" t="s">
        <v>34</v>
      </c>
      <c r="M3">
        <v>698689</v>
      </c>
      <c r="N3">
        <v>698689</v>
      </c>
      <c r="O3" s="7">
        <f t="shared" ref="O3:O66" si="0">IFERROR(N3/M3,0)</f>
        <v>1</v>
      </c>
      <c r="P3" s="5">
        <v>46129</v>
      </c>
      <c r="Q3" s="5"/>
    </row>
    <row r="4" spans="1:19" ht="14.45">
      <c r="A4" t="s">
        <v>19</v>
      </c>
      <c r="B4" t="s">
        <v>20</v>
      </c>
      <c r="C4" t="s">
        <v>21</v>
      </c>
      <c r="D4" t="s">
        <v>35</v>
      </c>
      <c r="E4" t="s">
        <v>30</v>
      </c>
      <c r="F4">
        <v>1</v>
      </c>
      <c r="H4" t="s">
        <v>36</v>
      </c>
      <c r="I4" t="s">
        <v>37</v>
      </c>
      <c r="J4" t="s">
        <v>38</v>
      </c>
      <c r="K4" t="s">
        <v>27</v>
      </c>
      <c r="L4" t="s">
        <v>39</v>
      </c>
      <c r="M4">
        <v>698689</v>
      </c>
      <c r="N4">
        <v>698689</v>
      </c>
      <c r="O4" s="7">
        <f t="shared" si="0"/>
        <v>1</v>
      </c>
      <c r="P4" s="5">
        <v>46129</v>
      </c>
      <c r="Q4" s="5"/>
    </row>
    <row r="5" spans="1:19" ht="14.45">
      <c r="A5" t="s">
        <v>19</v>
      </c>
      <c r="B5" t="s">
        <v>20</v>
      </c>
      <c r="C5" t="s">
        <v>21</v>
      </c>
      <c r="D5" t="s">
        <v>40</v>
      </c>
      <c r="E5" t="s">
        <v>30</v>
      </c>
      <c r="F5">
        <v>1</v>
      </c>
      <c r="H5" t="s">
        <v>41</v>
      </c>
      <c r="I5" t="s">
        <v>42</v>
      </c>
      <c r="J5" t="s">
        <v>33</v>
      </c>
      <c r="K5" t="s">
        <v>27</v>
      </c>
      <c r="L5" t="s">
        <v>43</v>
      </c>
      <c r="M5">
        <v>698689</v>
      </c>
      <c r="N5">
        <v>698689</v>
      </c>
      <c r="O5" s="7">
        <f t="shared" si="0"/>
        <v>1</v>
      </c>
      <c r="P5" s="5">
        <v>46129</v>
      </c>
      <c r="Q5" s="5"/>
    </row>
    <row r="6" spans="1:19" ht="14.45">
      <c r="A6" t="s">
        <v>19</v>
      </c>
      <c r="B6" t="s">
        <v>20</v>
      </c>
      <c r="C6" t="s">
        <v>21</v>
      </c>
      <c r="D6" t="s">
        <v>44</v>
      </c>
      <c r="E6" t="s">
        <v>30</v>
      </c>
      <c r="F6">
        <v>1</v>
      </c>
      <c r="H6" t="s">
        <v>45</v>
      </c>
      <c r="I6" t="s">
        <v>46</v>
      </c>
      <c r="J6" t="s">
        <v>47</v>
      </c>
      <c r="K6" t="s">
        <v>27</v>
      </c>
      <c r="L6" t="s">
        <v>48</v>
      </c>
      <c r="M6">
        <v>698689</v>
      </c>
      <c r="N6">
        <v>586860</v>
      </c>
      <c r="O6" s="7">
        <f t="shared" si="0"/>
        <v>0.8399445246740681</v>
      </c>
      <c r="P6" s="5">
        <v>46129</v>
      </c>
      <c r="Q6" s="5"/>
    </row>
    <row r="7" spans="1:19" ht="14.45">
      <c r="A7" t="s">
        <v>19</v>
      </c>
      <c r="B7" t="s">
        <v>20</v>
      </c>
      <c r="C7" t="s">
        <v>21</v>
      </c>
      <c r="D7" t="s">
        <v>49</v>
      </c>
      <c r="E7" t="s">
        <v>30</v>
      </c>
      <c r="F7">
        <v>1</v>
      </c>
      <c r="H7" t="s">
        <v>50</v>
      </c>
      <c r="I7" t="s">
        <v>51</v>
      </c>
      <c r="J7" t="s">
        <v>33</v>
      </c>
      <c r="K7" t="s">
        <v>27</v>
      </c>
      <c r="L7" t="s">
        <v>52</v>
      </c>
      <c r="M7">
        <v>698689</v>
      </c>
      <c r="N7">
        <v>698689</v>
      </c>
      <c r="O7" s="7">
        <f t="shared" si="0"/>
        <v>1</v>
      </c>
      <c r="P7" s="5">
        <v>46129</v>
      </c>
      <c r="Q7" s="5"/>
    </row>
    <row r="8" spans="1:19" ht="14.45">
      <c r="A8" t="s">
        <v>19</v>
      </c>
      <c r="B8" t="s">
        <v>20</v>
      </c>
      <c r="C8" t="s">
        <v>21</v>
      </c>
      <c r="D8" t="s">
        <v>53</v>
      </c>
      <c r="E8" t="s">
        <v>30</v>
      </c>
      <c r="F8">
        <v>1</v>
      </c>
      <c r="H8" t="s">
        <v>54</v>
      </c>
      <c r="I8" t="s">
        <v>51</v>
      </c>
      <c r="J8" t="s">
        <v>33</v>
      </c>
      <c r="K8" t="s">
        <v>27</v>
      </c>
      <c r="L8" t="s">
        <v>55</v>
      </c>
      <c r="M8">
        <v>698689</v>
      </c>
      <c r="N8">
        <v>698689</v>
      </c>
      <c r="O8" s="7">
        <f t="shared" si="0"/>
        <v>1</v>
      </c>
      <c r="P8" s="5">
        <v>46129</v>
      </c>
      <c r="Q8" s="5"/>
    </row>
    <row r="9" spans="1:19" ht="14.45">
      <c r="A9" t="s">
        <v>19</v>
      </c>
      <c r="B9" t="s">
        <v>20</v>
      </c>
      <c r="C9" t="s">
        <v>21</v>
      </c>
      <c r="D9" t="s">
        <v>56</v>
      </c>
      <c r="E9" t="s">
        <v>30</v>
      </c>
      <c r="F9">
        <v>1</v>
      </c>
      <c r="H9" t="s">
        <v>57</v>
      </c>
      <c r="I9" t="s">
        <v>58</v>
      </c>
      <c r="J9" t="s">
        <v>59</v>
      </c>
      <c r="K9" t="s">
        <v>27</v>
      </c>
      <c r="L9" t="s">
        <v>60</v>
      </c>
      <c r="M9">
        <v>698689</v>
      </c>
      <c r="N9">
        <v>109748</v>
      </c>
      <c r="O9" s="7">
        <f t="shared" si="0"/>
        <v>0.1570770399991985</v>
      </c>
      <c r="P9" s="5">
        <v>46129</v>
      </c>
      <c r="Q9" s="5"/>
    </row>
    <row r="10" spans="1:19" ht="14.45">
      <c r="A10" t="s">
        <v>19</v>
      </c>
      <c r="B10" t="s">
        <v>20</v>
      </c>
      <c r="C10" t="s">
        <v>21</v>
      </c>
      <c r="D10" t="s">
        <v>61</v>
      </c>
      <c r="E10" t="s">
        <v>30</v>
      </c>
      <c r="F10">
        <v>1</v>
      </c>
      <c r="H10" t="s">
        <v>62</v>
      </c>
      <c r="I10" s="6" t="s">
        <v>63</v>
      </c>
      <c r="J10" t="s">
        <v>33</v>
      </c>
      <c r="K10" t="s">
        <v>27</v>
      </c>
      <c r="L10" t="s">
        <v>64</v>
      </c>
      <c r="M10">
        <v>698689</v>
      </c>
      <c r="N10">
        <v>698689</v>
      </c>
      <c r="O10" s="7">
        <f t="shared" si="0"/>
        <v>1</v>
      </c>
      <c r="P10" s="5">
        <v>46129</v>
      </c>
      <c r="Q10" s="5"/>
    </row>
    <row r="11" spans="1:19" ht="14.45">
      <c r="A11" t="s">
        <v>19</v>
      </c>
      <c r="B11" t="s">
        <v>20</v>
      </c>
      <c r="C11" t="s">
        <v>21</v>
      </c>
      <c r="D11" t="s">
        <v>65</v>
      </c>
      <c r="E11" t="s">
        <v>30</v>
      </c>
      <c r="F11">
        <v>1</v>
      </c>
      <c r="H11" t="s">
        <v>66</v>
      </c>
      <c r="I11" t="s">
        <v>51</v>
      </c>
      <c r="J11" t="s">
        <v>33</v>
      </c>
      <c r="K11" t="s">
        <v>27</v>
      </c>
      <c r="L11" t="s">
        <v>67</v>
      </c>
      <c r="M11">
        <v>698689</v>
      </c>
      <c r="N11">
        <v>698689</v>
      </c>
      <c r="O11" s="7">
        <f t="shared" si="0"/>
        <v>1</v>
      </c>
      <c r="P11" s="5">
        <v>46129</v>
      </c>
      <c r="Q11" s="5"/>
    </row>
    <row r="12" spans="1:19" ht="14.45">
      <c r="A12" t="s">
        <v>19</v>
      </c>
      <c r="B12" t="s">
        <v>20</v>
      </c>
      <c r="C12" t="s">
        <v>21</v>
      </c>
      <c r="D12" t="s">
        <v>68</v>
      </c>
      <c r="E12" t="s">
        <v>30</v>
      </c>
      <c r="F12">
        <v>1</v>
      </c>
      <c r="H12" t="s">
        <v>69</v>
      </c>
      <c r="I12" t="s">
        <v>51</v>
      </c>
      <c r="J12" t="s">
        <v>33</v>
      </c>
      <c r="K12" t="s">
        <v>27</v>
      </c>
      <c r="L12" t="s">
        <v>70</v>
      </c>
      <c r="M12">
        <v>698689</v>
      </c>
      <c r="N12">
        <v>698689</v>
      </c>
      <c r="O12" s="7">
        <f t="shared" si="0"/>
        <v>1</v>
      </c>
      <c r="P12" s="5">
        <v>46129</v>
      </c>
      <c r="Q12" s="5"/>
    </row>
    <row r="13" spans="1:19" ht="14.45">
      <c r="A13" t="s">
        <v>19</v>
      </c>
      <c r="B13" t="s">
        <v>20</v>
      </c>
      <c r="C13" t="s">
        <v>21</v>
      </c>
      <c r="D13" t="s">
        <v>71</v>
      </c>
      <c r="E13" t="s">
        <v>30</v>
      </c>
      <c r="F13">
        <v>1</v>
      </c>
      <c r="H13" t="s">
        <v>72</v>
      </c>
      <c r="I13" t="s">
        <v>73</v>
      </c>
      <c r="J13" t="s">
        <v>59</v>
      </c>
      <c r="K13" t="s">
        <v>27</v>
      </c>
      <c r="L13" t="s">
        <v>74</v>
      </c>
      <c r="M13">
        <v>698689</v>
      </c>
      <c r="N13">
        <v>235669</v>
      </c>
      <c r="O13" s="7">
        <f t="shared" si="0"/>
        <v>0.33730171793172642</v>
      </c>
      <c r="P13" s="5">
        <v>46129</v>
      </c>
      <c r="Q13" s="5"/>
    </row>
    <row r="14" spans="1:19" ht="14.45">
      <c r="A14" t="s">
        <v>19</v>
      </c>
      <c r="B14" t="s">
        <v>20</v>
      </c>
      <c r="C14" t="s">
        <v>21</v>
      </c>
      <c r="D14" t="s">
        <v>75</v>
      </c>
      <c r="E14" t="s">
        <v>30</v>
      </c>
      <c r="F14">
        <v>1</v>
      </c>
      <c r="H14" t="s">
        <v>76</v>
      </c>
      <c r="I14" t="s">
        <v>77</v>
      </c>
      <c r="J14" t="s">
        <v>33</v>
      </c>
      <c r="K14" t="s">
        <v>27</v>
      </c>
      <c r="L14" t="s">
        <v>78</v>
      </c>
      <c r="M14">
        <v>698689</v>
      </c>
      <c r="N14">
        <v>698689</v>
      </c>
      <c r="O14" s="7">
        <f t="shared" si="0"/>
        <v>1</v>
      </c>
      <c r="P14" s="5">
        <v>46129</v>
      </c>
      <c r="Q14" s="5"/>
    </row>
    <row r="15" spans="1:19" ht="14.45">
      <c r="A15" t="s">
        <v>19</v>
      </c>
      <c r="B15" t="s">
        <v>20</v>
      </c>
      <c r="C15" t="s">
        <v>21</v>
      </c>
      <c r="D15" t="s">
        <v>79</v>
      </c>
      <c r="E15" t="s">
        <v>30</v>
      </c>
      <c r="F15">
        <v>1</v>
      </c>
      <c r="H15" t="s">
        <v>80</v>
      </c>
      <c r="I15" t="s">
        <v>81</v>
      </c>
      <c r="J15" t="s">
        <v>38</v>
      </c>
      <c r="K15" t="s">
        <v>27</v>
      </c>
      <c r="L15" t="s">
        <v>82</v>
      </c>
      <c r="M15">
        <v>698689</v>
      </c>
      <c r="N15">
        <v>676554</v>
      </c>
      <c r="O15" s="7">
        <f t="shared" si="0"/>
        <v>0.96831923788695684</v>
      </c>
      <c r="P15" s="5">
        <v>46129</v>
      </c>
      <c r="Q15" s="5"/>
    </row>
    <row r="16" spans="1:19" ht="14.45">
      <c r="A16" t="s">
        <v>19</v>
      </c>
      <c r="B16" t="s">
        <v>20</v>
      </c>
      <c r="C16" t="s">
        <v>21</v>
      </c>
      <c r="D16" t="s">
        <v>83</v>
      </c>
      <c r="E16" t="s">
        <v>30</v>
      </c>
      <c r="F16">
        <v>1</v>
      </c>
      <c r="H16" t="s">
        <v>84</v>
      </c>
      <c r="I16" s="6" t="s">
        <v>85</v>
      </c>
      <c r="J16" t="s">
        <v>86</v>
      </c>
      <c r="K16" t="s">
        <v>27</v>
      </c>
      <c r="L16" t="s">
        <v>87</v>
      </c>
      <c r="M16">
        <v>698689</v>
      </c>
      <c r="N16">
        <v>697684</v>
      </c>
      <c r="O16" s="7">
        <f t="shared" si="0"/>
        <v>0.99856159178117876</v>
      </c>
      <c r="P16" s="5">
        <v>46129</v>
      </c>
      <c r="Q16" s="5"/>
    </row>
    <row r="17" spans="1:17" ht="14.45">
      <c r="A17" t="s">
        <v>19</v>
      </c>
      <c r="B17" t="s">
        <v>20</v>
      </c>
      <c r="C17" t="s">
        <v>21</v>
      </c>
      <c r="D17" t="s">
        <v>88</v>
      </c>
      <c r="E17" t="s">
        <v>30</v>
      </c>
      <c r="F17">
        <v>1</v>
      </c>
      <c r="H17" t="s">
        <v>89</v>
      </c>
      <c r="I17" s="6" t="s">
        <v>85</v>
      </c>
      <c r="J17" t="s">
        <v>86</v>
      </c>
      <c r="K17" t="s">
        <v>27</v>
      </c>
      <c r="L17" t="s">
        <v>90</v>
      </c>
      <c r="M17">
        <v>698689</v>
      </c>
      <c r="N17">
        <v>219294</v>
      </c>
      <c r="O17" s="7">
        <f t="shared" si="0"/>
        <v>0.3138649671026737</v>
      </c>
      <c r="P17" s="5">
        <v>46129</v>
      </c>
      <c r="Q17" s="5"/>
    </row>
    <row r="18" spans="1:17" ht="14.45">
      <c r="A18" t="s">
        <v>19</v>
      </c>
      <c r="B18" t="s">
        <v>20</v>
      </c>
      <c r="C18" t="s">
        <v>21</v>
      </c>
      <c r="D18" t="s">
        <v>91</v>
      </c>
      <c r="E18" t="s">
        <v>30</v>
      </c>
      <c r="F18">
        <v>1</v>
      </c>
      <c r="H18" t="s">
        <v>92</v>
      </c>
      <c r="I18" t="s">
        <v>93</v>
      </c>
      <c r="J18" t="s">
        <v>94</v>
      </c>
      <c r="K18" t="s">
        <v>27</v>
      </c>
      <c r="L18" t="s">
        <v>95</v>
      </c>
      <c r="M18">
        <v>698689</v>
      </c>
      <c r="N18">
        <v>698689</v>
      </c>
      <c r="O18" s="7">
        <f t="shared" si="0"/>
        <v>1</v>
      </c>
      <c r="P18" s="5">
        <v>46129</v>
      </c>
      <c r="Q18" s="5"/>
    </row>
    <row r="19" spans="1:17" ht="14.45">
      <c r="A19" t="s">
        <v>19</v>
      </c>
      <c r="B19" t="s">
        <v>20</v>
      </c>
      <c r="C19" t="s">
        <v>21</v>
      </c>
      <c r="D19" t="s">
        <v>96</v>
      </c>
      <c r="E19" t="s">
        <v>30</v>
      </c>
      <c r="F19">
        <v>1</v>
      </c>
      <c r="H19" t="s">
        <v>97</v>
      </c>
      <c r="I19" t="s">
        <v>98</v>
      </c>
      <c r="J19" t="s">
        <v>38</v>
      </c>
      <c r="K19" t="s">
        <v>27</v>
      </c>
      <c r="L19" t="s">
        <v>99</v>
      </c>
      <c r="M19">
        <v>698689</v>
      </c>
      <c r="N19">
        <v>571945</v>
      </c>
      <c r="O19" s="7">
        <f t="shared" si="0"/>
        <v>0.81859740170519357</v>
      </c>
      <c r="P19" s="5">
        <v>46129</v>
      </c>
      <c r="Q19" s="5"/>
    </row>
    <row r="20" spans="1:17">
      <c r="A20" t="s">
        <v>19</v>
      </c>
      <c r="B20" t="s">
        <v>20</v>
      </c>
      <c r="C20" t="s">
        <v>21</v>
      </c>
      <c r="D20" t="s">
        <v>100</v>
      </c>
      <c r="E20" t="s">
        <v>30</v>
      </c>
      <c r="F20">
        <v>1</v>
      </c>
      <c r="H20" t="s">
        <v>101</v>
      </c>
      <c r="I20" t="s">
        <v>81</v>
      </c>
      <c r="J20" t="s">
        <v>38</v>
      </c>
      <c r="K20" t="s">
        <v>27</v>
      </c>
      <c r="L20" t="s">
        <v>102</v>
      </c>
      <c r="M20">
        <v>698689</v>
      </c>
      <c r="N20">
        <v>0</v>
      </c>
      <c r="O20" s="7">
        <f t="shared" si="0"/>
        <v>0</v>
      </c>
      <c r="P20" t="s">
        <v>103</v>
      </c>
      <c r="Q20" t="s">
        <v>104</v>
      </c>
    </row>
    <row r="21" spans="1:17" ht="14.45">
      <c r="A21" t="s">
        <v>19</v>
      </c>
      <c r="B21" t="s">
        <v>20</v>
      </c>
      <c r="C21" t="s">
        <v>21</v>
      </c>
      <c r="D21" t="s">
        <v>105</v>
      </c>
      <c r="E21" t="s">
        <v>30</v>
      </c>
      <c r="F21">
        <v>1</v>
      </c>
      <c r="H21" t="s">
        <v>106</v>
      </c>
      <c r="I21" t="s">
        <v>81</v>
      </c>
      <c r="J21" t="s">
        <v>38</v>
      </c>
      <c r="K21" t="s">
        <v>27</v>
      </c>
      <c r="L21" t="s">
        <v>107</v>
      </c>
      <c r="M21">
        <v>698689</v>
      </c>
      <c r="N21">
        <v>647938</v>
      </c>
      <c r="O21" s="7">
        <f t="shared" si="0"/>
        <v>0.92736253182746542</v>
      </c>
      <c r="P21" s="5">
        <v>46129</v>
      </c>
      <c r="Q21" s="5"/>
    </row>
    <row r="22" spans="1:17" ht="14.45">
      <c r="A22" t="s">
        <v>19</v>
      </c>
      <c r="B22" t="s">
        <v>20</v>
      </c>
      <c r="C22" t="s">
        <v>21</v>
      </c>
      <c r="D22" t="s">
        <v>108</v>
      </c>
      <c r="E22" t="s">
        <v>30</v>
      </c>
      <c r="F22">
        <v>1</v>
      </c>
      <c r="H22" t="s">
        <v>109</v>
      </c>
      <c r="I22" s="6" t="s">
        <v>110</v>
      </c>
      <c r="J22" t="s">
        <v>33</v>
      </c>
      <c r="K22" t="s">
        <v>27</v>
      </c>
      <c r="L22" t="s">
        <v>111</v>
      </c>
      <c r="M22">
        <v>698689</v>
      </c>
      <c r="N22">
        <v>698689</v>
      </c>
      <c r="O22" s="7">
        <f t="shared" si="0"/>
        <v>1</v>
      </c>
      <c r="P22" s="5">
        <v>46129</v>
      </c>
      <c r="Q22" s="5"/>
    </row>
    <row r="23" spans="1:17" ht="14.45">
      <c r="A23" t="s">
        <v>19</v>
      </c>
      <c r="B23" t="s">
        <v>20</v>
      </c>
      <c r="C23" t="s">
        <v>21</v>
      </c>
      <c r="D23" t="s">
        <v>112</v>
      </c>
      <c r="E23" t="s">
        <v>30</v>
      </c>
      <c r="F23">
        <v>1</v>
      </c>
      <c r="H23" t="s">
        <v>113</v>
      </c>
      <c r="I23" t="s">
        <v>114</v>
      </c>
      <c r="J23" t="s">
        <v>33</v>
      </c>
      <c r="K23" t="s">
        <v>27</v>
      </c>
      <c r="L23" t="s">
        <v>115</v>
      </c>
      <c r="M23">
        <v>698689</v>
      </c>
      <c r="N23">
        <v>698689</v>
      </c>
      <c r="O23" s="7">
        <f t="shared" si="0"/>
        <v>1</v>
      </c>
      <c r="P23" s="5">
        <v>46129</v>
      </c>
      <c r="Q23" s="5"/>
    </row>
    <row r="24" spans="1:17" ht="14.45">
      <c r="A24" t="s">
        <v>19</v>
      </c>
      <c r="B24" t="s">
        <v>20</v>
      </c>
      <c r="C24" t="s">
        <v>21</v>
      </c>
      <c r="D24" t="s">
        <v>116</v>
      </c>
      <c r="E24" t="s">
        <v>30</v>
      </c>
      <c r="F24">
        <v>1</v>
      </c>
      <c r="H24" t="s">
        <v>117</v>
      </c>
      <c r="I24" t="s">
        <v>118</v>
      </c>
      <c r="J24" t="s">
        <v>33</v>
      </c>
      <c r="K24" t="s">
        <v>27</v>
      </c>
      <c r="L24" t="s">
        <v>119</v>
      </c>
      <c r="M24">
        <v>698689</v>
      </c>
      <c r="N24">
        <v>698689</v>
      </c>
      <c r="O24" s="7">
        <f t="shared" si="0"/>
        <v>1</v>
      </c>
      <c r="P24" s="5">
        <v>46129</v>
      </c>
      <c r="Q24" s="5"/>
    </row>
    <row r="25" spans="1:17" ht="14.45">
      <c r="A25" t="s">
        <v>19</v>
      </c>
      <c r="B25" t="s">
        <v>20</v>
      </c>
      <c r="C25" t="s">
        <v>21</v>
      </c>
      <c r="D25" t="s">
        <v>120</v>
      </c>
      <c r="E25" t="s">
        <v>30</v>
      </c>
      <c r="F25">
        <v>1</v>
      </c>
      <c r="H25" t="s">
        <v>121</v>
      </c>
      <c r="I25" s="6" t="s">
        <v>85</v>
      </c>
      <c r="J25" t="s">
        <v>86</v>
      </c>
      <c r="K25" t="s">
        <v>27</v>
      </c>
      <c r="L25" t="s">
        <v>122</v>
      </c>
      <c r="M25">
        <v>698689</v>
      </c>
      <c r="N25">
        <v>523486</v>
      </c>
      <c r="O25" s="7">
        <f t="shared" si="0"/>
        <v>0.74924036302274688</v>
      </c>
      <c r="P25" s="5">
        <v>46129</v>
      </c>
      <c r="Q25" s="5"/>
    </row>
    <row r="26" spans="1:17" ht="14.45">
      <c r="A26" t="s">
        <v>19</v>
      </c>
      <c r="B26" t="s">
        <v>20</v>
      </c>
      <c r="C26" t="s">
        <v>21</v>
      </c>
      <c r="D26" t="s">
        <v>123</v>
      </c>
      <c r="E26" t="s">
        <v>30</v>
      </c>
      <c r="F26">
        <v>1</v>
      </c>
      <c r="H26" t="s">
        <v>124</v>
      </c>
      <c r="I26" s="6" t="s">
        <v>125</v>
      </c>
      <c r="J26" t="s">
        <v>126</v>
      </c>
      <c r="K26" t="s">
        <v>27</v>
      </c>
      <c r="L26" t="s">
        <v>127</v>
      </c>
      <c r="M26">
        <v>698689</v>
      </c>
      <c r="N26">
        <v>698689</v>
      </c>
      <c r="O26" s="7">
        <f t="shared" si="0"/>
        <v>1</v>
      </c>
      <c r="P26" s="5">
        <v>46129</v>
      </c>
      <c r="Q26" s="5"/>
    </row>
    <row r="27" spans="1:17" ht="14.45">
      <c r="A27" t="s">
        <v>19</v>
      </c>
      <c r="B27" t="s">
        <v>20</v>
      </c>
      <c r="C27" t="s">
        <v>21</v>
      </c>
      <c r="D27" t="s">
        <v>128</v>
      </c>
      <c r="E27" t="s">
        <v>30</v>
      </c>
      <c r="F27">
        <v>1</v>
      </c>
      <c r="H27" t="s">
        <v>129</v>
      </c>
      <c r="I27" s="6" t="s">
        <v>125</v>
      </c>
      <c r="J27" t="s">
        <v>33</v>
      </c>
      <c r="K27" t="s">
        <v>27</v>
      </c>
      <c r="L27" t="s">
        <v>130</v>
      </c>
      <c r="M27">
        <v>698689</v>
      </c>
      <c r="N27">
        <v>698689</v>
      </c>
      <c r="O27" s="7">
        <f t="shared" si="0"/>
        <v>1</v>
      </c>
      <c r="P27" s="5">
        <v>46129</v>
      </c>
      <c r="Q27" s="5"/>
    </row>
    <row r="28" spans="1:17" ht="14.45">
      <c r="A28" t="s">
        <v>19</v>
      </c>
      <c r="B28" t="s">
        <v>20</v>
      </c>
      <c r="C28" t="s">
        <v>21</v>
      </c>
      <c r="D28" t="s">
        <v>131</v>
      </c>
      <c r="E28" t="s">
        <v>23</v>
      </c>
      <c r="F28">
        <v>1</v>
      </c>
      <c r="H28" s="4" t="s">
        <v>132</v>
      </c>
      <c r="I28" s="4" t="s">
        <v>133</v>
      </c>
      <c r="J28" s="4" t="s">
        <v>134</v>
      </c>
      <c r="K28" s="4" t="s">
        <v>27</v>
      </c>
      <c r="L28" s="4" t="s">
        <v>135</v>
      </c>
      <c r="M28">
        <v>698689</v>
      </c>
      <c r="N28">
        <v>208515</v>
      </c>
      <c r="O28" s="7">
        <f t="shared" si="0"/>
        <v>0.2984375022363312</v>
      </c>
      <c r="P28" s="5">
        <v>46129</v>
      </c>
      <c r="Q28" s="5"/>
    </row>
    <row r="29" spans="1:17" ht="14.45">
      <c r="A29" t="s">
        <v>19</v>
      </c>
      <c r="B29" t="s">
        <v>20</v>
      </c>
      <c r="C29" t="s">
        <v>21</v>
      </c>
      <c r="D29" t="s">
        <v>136</v>
      </c>
      <c r="E29" t="s">
        <v>23</v>
      </c>
      <c r="F29">
        <v>1</v>
      </c>
      <c r="H29" s="4" t="s">
        <v>137</v>
      </c>
      <c r="I29" s="4" t="s">
        <v>138</v>
      </c>
      <c r="J29" s="4" t="s">
        <v>139</v>
      </c>
      <c r="K29" s="4" t="s">
        <v>27</v>
      </c>
      <c r="L29" s="4" t="s">
        <v>140</v>
      </c>
      <c r="M29">
        <v>698689</v>
      </c>
      <c r="N29">
        <v>402045</v>
      </c>
      <c r="O29" s="7">
        <f t="shared" si="0"/>
        <v>0.57542769386665593</v>
      </c>
      <c r="P29" s="5">
        <v>46129</v>
      </c>
      <c r="Q29" s="5"/>
    </row>
    <row r="30" spans="1:17" ht="14.45">
      <c r="A30" t="s">
        <v>19</v>
      </c>
      <c r="B30" t="s">
        <v>20</v>
      </c>
      <c r="C30" t="s">
        <v>21</v>
      </c>
      <c r="D30" t="s">
        <v>141</v>
      </c>
      <c r="E30" t="s">
        <v>30</v>
      </c>
      <c r="F30">
        <v>1</v>
      </c>
      <c r="H30" t="s">
        <v>142</v>
      </c>
      <c r="I30" t="s">
        <v>143</v>
      </c>
      <c r="J30" t="s">
        <v>33</v>
      </c>
      <c r="K30" t="s">
        <v>27</v>
      </c>
      <c r="L30" t="s">
        <v>144</v>
      </c>
      <c r="M30">
        <v>698689</v>
      </c>
      <c r="N30">
        <v>698663</v>
      </c>
      <c r="O30" s="7">
        <f t="shared" si="0"/>
        <v>0.9999627874490653</v>
      </c>
      <c r="P30" s="5">
        <v>46129</v>
      </c>
      <c r="Q30" s="5"/>
    </row>
    <row r="31" spans="1:17" ht="14.45">
      <c r="A31" t="s">
        <v>19</v>
      </c>
      <c r="B31" t="s">
        <v>20</v>
      </c>
      <c r="C31" t="s">
        <v>21</v>
      </c>
      <c r="D31" t="s">
        <v>145</v>
      </c>
      <c r="E31" t="s">
        <v>30</v>
      </c>
      <c r="F31">
        <v>1</v>
      </c>
      <c r="H31" t="s">
        <v>146</v>
      </c>
      <c r="I31" t="s">
        <v>147</v>
      </c>
      <c r="J31" t="s">
        <v>33</v>
      </c>
      <c r="K31" t="s">
        <v>27</v>
      </c>
      <c r="L31" t="s">
        <v>148</v>
      </c>
      <c r="M31">
        <v>698689</v>
      </c>
      <c r="N31">
        <v>698689</v>
      </c>
      <c r="O31" s="7">
        <f t="shared" si="0"/>
        <v>1</v>
      </c>
      <c r="P31" s="5">
        <v>46129</v>
      </c>
      <c r="Q31" s="5"/>
    </row>
    <row r="32" spans="1:17" ht="14.45">
      <c r="A32" t="s">
        <v>19</v>
      </c>
      <c r="B32" t="s">
        <v>20</v>
      </c>
      <c r="C32" t="s">
        <v>21</v>
      </c>
      <c r="D32" t="s">
        <v>149</v>
      </c>
      <c r="E32" t="s">
        <v>30</v>
      </c>
      <c r="F32">
        <v>1</v>
      </c>
      <c r="H32" t="s">
        <v>150</v>
      </c>
      <c r="I32" s="6" t="s">
        <v>151</v>
      </c>
      <c r="J32" t="s">
        <v>33</v>
      </c>
      <c r="K32" t="s">
        <v>27</v>
      </c>
      <c r="L32" t="s">
        <v>152</v>
      </c>
      <c r="M32">
        <v>698689</v>
      </c>
      <c r="N32">
        <v>698689</v>
      </c>
      <c r="O32" s="7">
        <f t="shared" si="0"/>
        <v>1</v>
      </c>
      <c r="P32" s="5">
        <v>46129</v>
      </c>
      <c r="Q32" s="5"/>
    </row>
    <row r="33" spans="1:17" ht="14.45">
      <c r="A33" t="s">
        <v>19</v>
      </c>
      <c r="B33" t="s">
        <v>20</v>
      </c>
      <c r="C33" t="s">
        <v>21</v>
      </c>
      <c r="D33" t="s">
        <v>153</v>
      </c>
      <c r="E33" t="s">
        <v>30</v>
      </c>
      <c r="F33">
        <v>1</v>
      </c>
      <c r="H33" t="s">
        <v>154</v>
      </c>
      <c r="I33" t="s">
        <v>155</v>
      </c>
      <c r="J33" t="s">
        <v>33</v>
      </c>
      <c r="K33" t="s">
        <v>27</v>
      </c>
      <c r="L33" t="s">
        <v>156</v>
      </c>
      <c r="M33">
        <v>698689</v>
      </c>
      <c r="N33">
        <v>698689</v>
      </c>
      <c r="O33" s="7">
        <f t="shared" si="0"/>
        <v>1</v>
      </c>
      <c r="P33" s="5">
        <v>46129</v>
      </c>
      <c r="Q33" s="5"/>
    </row>
    <row r="34" spans="1:17" ht="14.45">
      <c r="A34" t="s">
        <v>19</v>
      </c>
      <c r="B34" t="s">
        <v>20</v>
      </c>
      <c r="C34" t="s">
        <v>21</v>
      </c>
      <c r="D34" t="s">
        <v>157</v>
      </c>
      <c r="E34" t="s">
        <v>30</v>
      </c>
      <c r="F34">
        <v>1</v>
      </c>
      <c r="H34" t="s">
        <v>158</v>
      </c>
      <c r="I34" t="s">
        <v>81</v>
      </c>
      <c r="J34" t="s">
        <v>38</v>
      </c>
      <c r="K34" t="s">
        <v>27</v>
      </c>
      <c r="L34" t="s">
        <v>159</v>
      </c>
      <c r="M34">
        <v>698689</v>
      </c>
      <c r="N34">
        <v>921</v>
      </c>
      <c r="O34" s="7">
        <f t="shared" si="0"/>
        <v>1.3181830542630555E-3</v>
      </c>
      <c r="P34" s="5">
        <v>46118</v>
      </c>
      <c r="Q34" s="5"/>
    </row>
    <row r="35" spans="1:17" ht="14.45">
      <c r="A35" t="s">
        <v>19</v>
      </c>
      <c r="B35" t="s">
        <v>20</v>
      </c>
      <c r="C35" t="s">
        <v>21</v>
      </c>
      <c r="D35" t="s">
        <v>160</v>
      </c>
      <c r="E35" t="s">
        <v>30</v>
      </c>
      <c r="F35">
        <v>1</v>
      </c>
      <c r="H35" t="s">
        <v>161</v>
      </c>
      <c r="I35" t="s">
        <v>162</v>
      </c>
      <c r="J35" t="s">
        <v>33</v>
      </c>
      <c r="K35" t="s">
        <v>27</v>
      </c>
      <c r="L35" t="s">
        <v>163</v>
      </c>
      <c r="M35">
        <v>698689</v>
      </c>
      <c r="N35">
        <v>698689</v>
      </c>
      <c r="O35" s="7">
        <f t="shared" si="0"/>
        <v>1</v>
      </c>
      <c r="P35" s="5">
        <v>46129</v>
      </c>
      <c r="Q35" s="5"/>
    </row>
    <row r="36" spans="1:17" ht="14.45">
      <c r="A36" t="s">
        <v>19</v>
      </c>
      <c r="B36" t="s">
        <v>20</v>
      </c>
      <c r="C36" t="s">
        <v>21</v>
      </c>
      <c r="D36" t="s">
        <v>164</v>
      </c>
      <c r="E36" t="s">
        <v>30</v>
      </c>
      <c r="F36">
        <v>1</v>
      </c>
      <c r="H36" t="s">
        <v>165</v>
      </c>
      <c r="I36" t="s">
        <v>166</v>
      </c>
      <c r="J36" t="s">
        <v>33</v>
      </c>
      <c r="K36" t="s">
        <v>27</v>
      </c>
      <c r="L36" t="s">
        <v>167</v>
      </c>
      <c r="M36">
        <v>698689</v>
      </c>
      <c r="N36">
        <v>698689</v>
      </c>
      <c r="O36" s="7">
        <f t="shared" si="0"/>
        <v>1</v>
      </c>
      <c r="P36" s="5">
        <v>46129</v>
      </c>
      <c r="Q36" s="5"/>
    </row>
    <row r="37" spans="1:17" ht="14.45">
      <c r="A37" t="s">
        <v>19</v>
      </c>
      <c r="B37" t="s">
        <v>20</v>
      </c>
      <c r="C37" t="s">
        <v>21</v>
      </c>
      <c r="D37" t="s">
        <v>168</v>
      </c>
      <c r="E37" t="s">
        <v>30</v>
      </c>
      <c r="F37">
        <v>1</v>
      </c>
      <c r="H37" t="s">
        <v>169</v>
      </c>
      <c r="I37" t="s">
        <v>170</v>
      </c>
      <c r="J37" t="s">
        <v>33</v>
      </c>
      <c r="K37" t="s">
        <v>27</v>
      </c>
      <c r="L37" t="s">
        <v>171</v>
      </c>
      <c r="M37">
        <v>698689</v>
      </c>
      <c r="N37">
        <v>638417</v>
      </c>
      <c r="O37" s="7">
        <f t="shared" si="0"/>
        <v>0.9137355819255778</v>
      </c>
      <c r="P37" s="5">
        <v>46129</v>
      </c>
      <c r="Q37" s="5"/>
    </row>
    <row r="38" spans="1:17" ht="14.45">
      <c r="A38" t="s">
        <v>19</v>
      </c>
      <c r="B38" t="s">
        <v>20</v>
      </c>
      <c r="C38" t="s">
        <v>21</v>
      </c>
      <c r="D38" t="s">
        <v>172</v>
      </c>
      <c r="E38" t="s">
        <v>30</v>
      </c>
      <c r="F38">
        <v>1</v>
      </c>
      <c r="H38" t="s">
        <v>173</v>
      </c>
      <c r="I38" t="s">
        <v>174</v>
      </c>
      <c r="J38" t="s">
        <v>33</v>
      </c>
      <c r="K38" t="s">
        <v>27</v>
      </c>
      <c r="L38" t="s">
        <v>175</v>
      </c>
      <c r="M38">
        <v>698689</v>
      </c>
      <c r="N38">
        <v>698689</v>
      </c>
      <c r="O38" s="7">
        <f t="shared" si="0"/>
        <v>1</v>
      </c>
      <c r="P38" s="5">
        <v>46129</v>
      </c>
      <c r="Q38" s="5"/>
    </row>
    <row r="39" spans="1:17" ht="14.45">
      <c r="A39" t="s">
        <v>19</v>
      </c>
      <c r="B39" t="s">
        <v>20</v>
      </c>
      <c r="C39" t="s">
        <v>21</v>
      </c>
      <c r="D39" t="s">
        <v>176</v>
      </c>
      <c r="E39" t="s">
        <v>30</v>
      </c>
      <c r="F39">
        <v>1</v>
      </c>
      <c r="H39" t="s">
        <v>177</v>
      </c>
      <c r="I39" t="s">
        <v>178</v>
      </c>
      <c r="J39" t="s">
        <v>33</v>
      </c>
      <c r="K39" t="s">
        <v>27</v>
      </c>
      <c r="L39" t="s">
        <v>179</v>
      </c>
      <c r="M39">
        <v>698689</v>
      </c>
      <c r="N39">
        <v>698689</v>
      </c>
      <c r="O39" s="7">
        <f t="shared" si="0"/>
        <v>1</v>
      </c>
      <c r="P39" s="5">
        <v>46129</v>
      </c>
      <c r="Q39" s="5"/>
    </row>
    <row r="40" spans="1:17" ht="14.45">
      <c r="A40" t="s">
        <v>19</v>
      </c>
      <c r="B40" t="s">
        <v>20</v>
      </c>
      <c r="C40" t="s">
        <v>21</v>
      </c>
      <c r="D40" t="s">
        <v>180</v>
      </c>
      <c r="E40" t="s">
        <v>30</v>
      </c>
      <c r="F40">
        <v>1</v>
      </c>
      <c r="H40" t="s">
        <v>181</v>
      </c>
      <c r="I40" t="s">
        <v>182</v>
      </c>
      <c r="J40" t="s">
        <v>38</v>
      </c>
      <c r="K40" t="s">
        <v>27</v>
      </c>
      <c r="L40" t="s">
        <v>183</v>
      </c>
      <c r="M40">
        <v>698689</v>
      </c>
      <c r="N40">
        <v>698689</v>
      </c>
      <c r="O40" s="7">
        <f t="shared" si="0"/>
        <v>1</v>
      </c>
      <c r="P40" s="5">
        <v>46129</v>
      </c>
      <c r="Q40" s="5"/>
    </row>
    <row r="41" spans="1:17" ht="14.45">
      <c r="A41" t="s">
        <v>19</v>
      </c>
      <c r="B41" t="s">
        <v>20</v>
      </c>
      <c r="C41" t="s">
        <v>21</v>
      </c>
      <c r="D41" t="s">
        <v>184</v>
      </c>
      <c r="E41" t="s">
        <v>30</v>
      </c>
      <c r="F41">
        <v>1</v>
      </c>
      <c r="H41" t="s">
        <v>185</v>
      </c>
      <c r="I41" t="s">
        <v>186</v>
      </c>
      <c r="J41" t="s">
        <v>33</v>
      </c>
      <c r="K41" t="s">
        <v>27</v>
      </c>
      <c r="L41" t="s">
        <v>187</v>
      </c>
      <c r="M41">
        <v>698689</v>
      </c>
      <c r="N41">
        <v>537136</v>
      </c>
      <c r="O41" s="7">
        <f t="shared" si="0"/>
        <v>0.76877695226345344</v>
      </c>
      <c r="P41" s="5">
        <v>46129</v>
      </c>
      <c r="Q41" s="5"/>
    </row>
    <row r="42" spans="1:17" ht="14.45">
      <c r="A42" t="s">
        <v>19</v>
      </c>
      <c r="B42" t="s">
        <v>20</v>
      </c>
      <c r="C42" t="s">
        <v>21</v>
      </c>
      <c r="D42" t="s">
        <v>188</v>
      </c>
      <c r="E42" t="s">
        <v>30</v>
      </c>
      <c r="F42">
        <v>1</v>
      </c>
      <c r="H42" t="s">
        <v>189</v>
      </c>
      <c r="I42" t="s">
        <v>190</v>
      </c>
      <c r="J42" t="s">
        <v>33</v>
      </c>
      <c r="K42" t="s">
        <v>27</v>
      </c>
      <c r="L42" t="s">
        <v>191</v>
      </c>
      <c r="M42">
        <v>698689</v>
      </c>
      <c r="N42">
        <v>698689</v>
      </c>
      <c r="O42" s="7">
        <f t="shared" si="0"/>
        <v>1</v>
      </c>
      <c r="P42" s="5">
        <v>46129</v>
      </c>
      <c r="Q42" s="5"/>
    </row>
    <row r="43" spans="1:17" ht="14.45">
      <c r="A43" t="s">
        <v>19</v>
      </c>
      <c r="B43" t="s">
        <v>20</v>
      </c>
      <c r="C43" t="s">
        <v>21</v>
      </c>
      <c r="D43" t="s">
        <v>192</v>
      </c>
      <c r="E43" t="s">
        <v>30</v>
      </c>
      <c r="F43">
        <v>1</v>
      </c>
      <c r="H43" t="s">
        <v>193</v>
      </c>
      <c r="I43" t="s">
        <v>162</v>
      </c>
      <c r="J43" t="s">
        <v>33</v>
      </c>
      <c r="K43" t="s">
        <v>27</v>
      </c>
      <c r="L43" t="s">
        <v>194</v>
      </c>
      <c r="M43">
        <v>698689</v>
      </c>
      <c r="N43">
        <v>698689</v>
      </c>
      <c r="O43" s="7">
        <f t="shared" si="0"/>
        <v>1</v>
      </c>
      <c r="P43" s="5">
        <v>46129</v>
      </c>
      <c r="Q43" s="5"/>
    </row>
    <row r="44" spans="1:17" ht="14.45">
      <c r="A44" t="s">
        <v>19</v>
      </c>
      <c r="B44" t="s">
        <v>20</v>
      </c>
      <c r="C44" t="s">
        <v>21</v>
      </c>
      <c r="D44" t="s">
        <v>195</v>
      </c>
      <c r="E44" t="s">
        <v>30</v>
      </c>
      <c r="F44">
        <v>1</v>
      </c>
      <c r="H44" t="s">
        <v>196</v>
      </c>
      <c r="I44" t="s">
        <v>190</v>
      </c>
      <c r="J44" t="s">
        <v>33</v>
      </c>
      <c r="K44" t="s">
        <v>27</v>
      </c>
      <c r="L44" t="s">
        <v>197</v>
      </c>
      <c r="M44">
        <v>698689</v>
      </c>
      <c r="N44">
        <v>698689</v>
      </c>
      <c r="O44" s="7">
        <f t="shared" si="0"/>
        <v>1</v>
      </c>
      <c r="P44" s="5">
        <v>46129</v>
      </c>
      <c r="Q44" s="5"/>
    </row>
    <row r="45" spans="1:17" ht="14.45">
      <c r="A45" t="s">
        <v>19</v>
      </c>
      <c r="B45" t="s">
        <v>20</v>
      </c>
      <c r="C45" t="s">
        <v>21</v>
      </c>
      <c r="D45" t="s">
        <v>198</v>
      </c>
      <c r="E45" t="s">
        <v>30</v>
      </c>
      <c r="F45">
        <v>1</v>
      </c>
      <c r="H45" t="s">
        <v>199</v>
      </c>
      <c r="I45" t="s">
        <v>200</v>
      </c>
      <c r="J45" t="s">
        <v>33</v>
      </c>
      <c r="K45" t="s">
        <v>27</v>
      </c>
      <c r="L45" t="s">
        <v>201</v>
      </c>
      <c r="M45">
        <v>698689</v>
      </c>
      <c r="N45">
        <v>698689</v>
      </c>
      <c r="O45" s="7">
        <f t="shared" si="0"/>
        <v>1</v>
      </c>
      <c r="P45" s="5">
        <v>46129</v>
      </c>
      <c r="Q45" s="5"/>
    </row>
    <row r="46" spans="1:17" ht="14.45">
      <c r="A46" t="s">
        <v>19</v>
      </c>
      <c r="B46" t="s">
        <v>20</v>
      </c>
      <c r="C46" t="s">
        <v>21</v>
      </c>
      <c r="D46" t="s">
        <v>202</v>
      </c>
      <c r="E46" t="s">
        <v>30</v>
      </c>
      <c r="F46">
        <v>1</v>
      </c>
      <c r="H46" t="s">
        <v>203</v>
      </c>
      <c r="I46" t="s">
        <v>204</v>
      </c>
      <c r="J46" t="s">
        <v>33</v>
      </c>
      <c r="K46" t="s">
        <v>27</v>
      </c>
      <c r="L46" t="s">
        <v>205</v>
      </c>
      <c r="M46">
        <v>698689</v>
      </c>
      <c r="N46">
        <v>540483</v>
      </c>
      <c r="O46" s="7">
        <f t="shared" si="0"/>
        <v>0.77356735257031384</v>
      </c>
      <c r="P46" s="5">
        <v>46129</v>
      </c>
      <c r="Q46" s="5"/>
    </row>
    <row r="47" spans="1:17" ht="14.45">
      <c r="A47" t="s">
        <v>19</v>
      </c>
      <c r="B47" t="s">
        <v>20</v>
      </c>
      <c r="C47" t="s">
        <v>21</v>
      </c>
      <c r="D47" t="s">
        <v>206</v>
      </c>
      <c r="E47" t="s">
        <v>30</v>
      </c>
      <c r="F47">
        <v>1</v>
      </c>
      <c r="H47" t="s">
        <v>207</v>
      </c>
      <c r="I47" s="6" t="s">
        <v>208</v>
      </c>
      <c r="J47" t="s">
        <v>33</v>
      </c>
      <c r="K47" t="s">
        <v>27</v>
      </c>
      <c r="L47" t="s">
        <v>209</v>
      </c>
      <c r="M47">
        <v>698689</v>
      </c>
      <c r="N47">
        <v>523486</v>
      </c>
      <c r="O47" s="7">
        <f t="shared" si="0"/>
        <v>0.74924036302274688</v>
      </c>
      <c r="P47" s="5">
        <v>46129</v>
      </c>
      <c r="Q47" s="5"/>
    </row>
    <row r="48" spans="1:17" ht="14.45">
      <c r="A48" t="s">
        <v>19</v>
      </c>
      <c r="B48" t="s">
        <v>20</v>
      </c>
      <c r="C48" t="s">
        <v>21</v>
      </c>
      <c r="D48" t="s">
        <v>210</v>
      </c>
      <c r="E48" t="s">
        <v>30</v>
      </c>
      <c r="F48">
        <v>1</v>
      </c>
      <c r="H48" t="s">
        <v>211</v>
      </c>
      <c r="I48" s="6" t="s">
        <v>212</v>
      </c>
      <c r="J48" t="s">
        <v>33</v>
      </c>
      <c r="K48" t="s">
        <v>27</v>
      </c>
      <c r="L48" t="s">
        <v>213</v>
      </c>
      <c r="M48">
        <v>698689</v>
      </c>
      <c r="N48">
        <v>476947</v>
      </c>
      <c r="O48" s="7">
        <f t="shared" si="0"/>
        <v>0.6826313281016303</v>
      </c>
      <c r="P48" s="5">
        <v>46129</v>
      </c>
      <c r="Q48" s="5"/>
    </row>
    <row r="49" spans="1:17" ht="14.45">
      <c r="A49" t="s">
        <v>19</v>
      </c>
      <c r="B49" t="s">
        <v>20</v>
      </c>
      <c r="C49" t="s">
        <v>21</v>
      </c>
      <c r="D49" t="s">
        <v>214</v>
      </c>
      <c r="E49" t="s">
        <v>30</v>
      </c>
      <c r="F49">
        <v>1</v>
      </c>
      <c r="H49" t="s">
        <v>215</v>
      </c>
      <c r="I49" s="6" t="s">
        <v>216</v>
      </c>
      <c r="J49" t="s">
        <v>126</v>
      </c>
      <c r="K49" t="s">
        <v>27</v>
      </c>
      <c r="L49" t="s">
        <v>217</v>
      </c>
      <c r="M49">
        <v>698689</v>
      </c>
      <c r="N49">
        <v>659070</v>
      </c>
      <c r="O49" s="7">
        <f t="shared" si="0"/>
        <v>0.94329522863534421</v>
      </c>
      <c r="P49" s="5">
        <v>46129</v>
      </c>
      <c r="Q49" s="5"/>
    </row>
    <row r="50" spans="1:17" ht="14.45">
      <c r="A50" t="s">
        <v>19</v>
      </c>
      <c r="B50" t="s">
        <v>20</v>
      </c>
      <c r="C50" t="s">
        <v>21</v>
      </c>
      <c r="D50" t="s">
        <v>218</v>
      </c>
      <c r="E50" t="s">
        <v>30</v>
      </c>
      <c r="F50">
        <v>1</v>
      </c>
      <c r="H50" t="s">
        <v>219</v>
      </c>
      <c r="I50" t="s">
        <v>220</v>
      </c>
      <c r="J50" t="s">
        <v>221</v>
      </c>
      <c r="K50" t="s">
        <v>27</v>
      </c>
      <c r="L50" t="s">
        <v>222</v>
      </c>
      <c r="M50">
        <v>698689</v>
      </c>
      <c r="N50">
        <v>698689</v>
      </c>
      <c r="O50" s="7">
        <f t="shared" si="0"/>
        <v>1</v>
      </c>
      <c r="P50" s="5">
        <v>46129</v>
      </c>
      <c r="Q50" s="5"/>
    </row>
    <row r="51" spans="1:17" ht="14.45">
      <c r="A51" t="s">
        <v>19</v>
      </c>
      <c r="B51" t="s">
        <v>20</v>
      </c>
      <c r="C51" t="s">
        <v>21</v>
      </c>
      <c r="D51" t="s">
        <v>223</v>
      </c>
      <c r="E51" t="s">
        <v>30</v>
      </c>
      <c r="F51">
        <v>1</v>
      </c>
      <c r="H51" t="s">
        <v>224</v>
      </c>
      <c r="I51" t="s">
        <v>225</v>
      </c>
      <c r="J51" t="s">
        <v>59</v>
      </c>
      <c r="K51" t="s">
        <v>27</v>
      </c>
      <c r="L51" t="s">
        <v>226</v>
      </c>
      <c r="M51">
        <v>698689</v>
      </c>
      <c r="N51">
        <v>698689</v>
      </c>
      <c r="O51" s="7">
        <f t="shared" si="0"/>
        <v>1</v>
      </c>
      <c r="P51" s="5">
        <v>46129</v>
      </c>
      <c r="Q51" s="5"/>
    </row>
    <row r="52" spans="1:17">
      <c r="A52" t="s">
        <v>19</v>
      </c>
      <c r="B52" t="s">
        <v>20</v>
      </c>
      <c r="C52" t="s">
        <v>21</v>
      </c>
      <c r="D52" t="s">
        <v>227</v>
      </c>
      <c r="E52" t="s">
        <v>30</v>
      </c>
      <c r="F52">
        <v>1</v>
      </c>
      <c r="H52" t="s">
        <v>228</v>
      </c>
      <c r="I52" t="s">
        <v>162</v>
      </c>
      <c r="J52" t="s">
        <v>33</v>
      </c>
      <c r="K52" t="s">
        <v>27</v>
      </c>
      <c r="L52" t="s">
        <v>229</v>
      </c>
      <c r="M52">
        <v>698689</v>
      </c>
      <c r="N52">
        <v>3</v>
      </c>
      <c r="O52" s="7">
        <f t="shared" si="0"/>
        <v>4.2937558770783567E-6</v>
      </c>
      <c r="P52" s="5">
        <v>45380</v>
      </c>
      <c r="Q52" t="s">
        <v>104</v>
      </c>
    </row>
    <row r="53" spans="1:17" ht="14.45">
      <c r="A53" t="s">
        <v>19</v>
      </c>
      <c r="B53" t="s">
        <v>20</v>
      </c>
      <c r="C53" t="s">
        <v>21</v>
      </c>
      <c r="D53" t="s">
        <v>230</v>
      </c>
      <c r="E53" t="s">
        <v>30</v>
      </c>
      <c r="F53">
        <v>1</v>
      </c>
      <c r="H53" t="s">
        <v>231</v>
      </c>
      <c r="I53" t="s">
        <v>232</v>
      </c>
      <c r="J53" t="s">
        <v>33</v>
      </c>
      <c r="K53" t="s">
        <v>27</v>
      </c>
      <c r="L53" t="s">
        <v>233</v>
      </c>
      <c r="M53">
        <v>698689</v>
      </c>
      <c r="N53">
        <v>590972</v>
      </c>
      <c r="O53" s="7">
        <f t="shared" si="0"/>
        <v>0.84582983272958356</v>
      </c>
      <c r="P53" s="5">
        <v>46129</v>
      </c>
      <c r="Q53" s="5"/>
    </row>
    <row r="54" spans="1:17" ht="14.45">
      <c r="A54" t="s">
        <v>19</v>
      </c>
      <c r="B54" t="s">
        <v>20</v>
      </c>
      <c r="C54" t="s">
        <v>21</v>
      </c>
      <c r="D54" t="s">
        <v>234</v>
      </c>
      <c r="E54" t="s">
        <v>23</v>
      </c>
      <c r="F54">
        <v>1</v>
      </c>
      <c r="H54" s="4" t="s">
        <v>235</v>
      </c>
      <c r="I54" s="4" t="s">
        <v>133</v>
      </c>
      <c r="J54" s="4" t="s">
        <v>134</v>
      </c>
      <c r="K54" s="4" t="s">
        <v>27</v>
      </c>
      <c r="L54" s="4" t="s">
        <v>236</v>
      </c>
      <c r="M54">
        <v>698689</v>
      </c>
      <c r="N54">
        <v>223863</v>
      </c>
      <c r="O54" s="7">
        <f t="shared" si="0"/>
        <v>0.32040435730346406</v>
      </c>
      <c r="P54" s="5">
        <v>46129</v>
      </c>
      <c r="Q54" s="5"/>
    </row>
    <row r="55" spans="1:17" ht="14.45">
      <c r="A55" t="s">
        <v>19</v>
      </c>
      <c r="B55" t="s">
        <v>20</v>
      </c>
      <c r="C55" t="s">
        <v>21</v>
      </c>
      <c r="D55" t="s">
        <v>237</v>
      </c>
      <c r="E55" t="s">
        <v>30</v>
      </c>
      <c r="F55">
        <v>1</v>
      </c>
      <c r="H55" t="s">
        <v>238</v>
      </c>
      <c r="I55" t="s">
        <v>239</v>
      </c>
      <c r="J55" t="s">
        <v>33</v>
      </c>
      <c r="K55" t="s">
        <v>27</v>
      </c>
      <c r="L55" t="s">
        <v>240</v>
      </c>
      <c r="M55">
        <v>698689</v>
      </c>
      <c r="N55">
        <v>680869</v>
      </c>
      <c r="O55" s="7">
        <f t="shared" si="0"/>
        <v>0.97449509009015456</v>
      </c>
      <c r="P55" s="5">
        <v>46129</v>
      </c>
      <c r="Q55" s="5"/>
    </row>
    <row r="56" spans="1:17" ht="14.45">
      <c r="A56" t="s">
        <v>19</v>
      </c>
      <c r="B56" t="s">
        <v>20</v>
      </c>
      <c r="C56" t="s">
        <v>21</v>
      </c>
      <c r="D56" t="s">
        <v>241</v>
      </c>
      <c r="E56" t="s">
        <v>30</v>
      </c>
      <c r="F56">
        <v>1</v>
      </c>
      <c r="H56" t="s">
        <v>242</v>
      </c>
      <c r="I56" s="6" t="s">
        <v>243</v>
      </c>
      <c r="J56" t="s">
        <v>139</v>
      </c>
      <c r="K56" t="s">
        <v>27</v>
      </c>
      <c r="L56" t="s">
        <v>244</v>
      </c>
      <c r="M56">
        <v>698689</v>
      </c>
      <c r="N56">
        <v>175206</v>
      </c>
      <c r="O56" s="7">
        <f t="shared" si="0"/>
        <v>0.25076393073313019</v>
      </c>
      <c r="P56" s="5">
        <v>46129</v>
      </c>
      <c r="Q56" s="5"/>
    </row>
    <row r="57" spans="1:17" ht="14.45">
      <c r="A57" t="s">
        <v>19</v>
      </c>
      <c r="B57" t="s">
        <v>20</v>
      </c>
      <c r="C57" t="s">
        <v>21</v>
      </c>
      <c r="D57" t="s">
        <v>245</v>
      </c>
      <c r="E57" t="s">
        <v>30</v>
      </c>
      <c r="F57">
        <v>1</v>
      </c>
      <c r="H57" t="s">
        <v>246</v>
      </c>
      <c r="I57" s="6" t="s">
        <v>247</v>
      </c>
      <c r="J57" t="s">
        <v>33</v>
      </c>
      <c r="K57" t="s">
        <v>27</v>
      </c>
      <c r="L57" t="s">
        <v>248</v>
      </c>
      <c r="M57">
        <v>698689</v>
      </c>
      <c r="N57">
        <v>698689</v>
      </c>
      <c r="O57" s="7">
        <f t="shared" si="0"/>
        <v>1</v>
      </c>
      <c r="P57" s="5">
        <v>46129</v>
      </c>
      <c r="Q57" s="5"/>
    </row>
    <row r="58" spans="1:17" ht="14.45">
      <c r="A58" t="s">
        <v>19</v>
      </c>
      <c r="B58" t="s">
        <v>20</v>
      </c>
      <c r="C58" t="s">
        <v>21</v>
      </c>
      <c r="D58" t="s">
        <v>249</v>
      </c>
      <c r="E58" t="s">
        <v>30</v>
      </c>
      <c r="F58">
        <v>1</v>
      </c>
      <c r="H58" t="s">
        <v>250</v>
      </c>
      <c r="I58" s="6" t="s">
        <v>251</v>
      </c>
      <c r="J58" t="s">
        <v>33</v>
      </c>
      <c r="K58" t="s">
        <v>27</v>
      </c>
      <c r="L58" t="s">
        <v>252</v>
      </c>
      <c r="M58">
        <v>698689</v>
      </c>
      <c r="N58">
        <v>523486</v>
      </c>
      <c r="O58" s="7">
        <f t="shared" si="0"/>
        <v>0.74924036302274688</v>
      </c>
      <c r="P58" s="5">
        <v>46129</v>
      </c>
      <c r="Q58" s="5"/>
    </row>
    <row r="59" spans="1:17" ht="14.45">
      <c r="A59" t="s">
        <v>19</v>
      </c>
      <c r="B59" t="s">
        <v>20</v>
      </c>
      <c r="C59" t="s">
        <v>21</v>
      </c>
      <c r="D59" t="s">
        <v>253</v>
      </c>
      <c r="E59" t="s">
        <v>30</v>
      </c>
      <c r="F59">
        <v>1</v>
      </c>
      <c r="H59" t="s">
        <v>254</v>
      </c>
      <c r="I59" s="6" t="s">
        <v>255</v>
      </c>
      <c r="J59" t="s">
        <v>33</v>
      </c>
      <c r="K59" t="s">
        <v>27</v>
      </c>
      <c r="L59" t="s">
        <v>256</v>
      </c>
      <c r="M59">
        <v>698689</v>
      </c>
      <c r="N59">
        <v>175206</v>
      </c>
      <c r="O59" s="7">
        <f t="shared" si="0"/>
        <v>0.25076393073313019</v>
      </c>
      <c r="P59" s="5">
        <v>46129</v>
      </c>
      <c r="Q59" s="5"/>
    </row>
    <row r="60" spans="1:17" ht="14.45">
      <c r="A60" t="s">
        <v>19</v>
      </c>
      <c r="B60" t="s">
        <v>20</v>
      </c>
      <c r="C60" t="s">
        <v>21</v>
      </c>
      <c r="D60" t="s">
        <v>257</v>
      </c>
      <c r="E60" t="s">
        <v>30</v>
      </c>
      <c r="F60">
        <v>1</v>
      </c>
      <c r="H60" t="s">
        <v>258</v>
      </c>
      <c r="I60" t="s">
        <v>259</v>
      </c>
      <c r="J60" t="s">
        <v>33</v>
      </c>
      <c r="K60" t="s">
        <v>27</v>
      </c>
      <c r="L60" t="s">
        <v>260</v>
      </c>
      <c r="M60">
        <v>698689</v>
      </c>
      <c r="N60">
        <v>698689</v>
      </c>
      <c r="O60" s="7">
        <f t="shared" si="0"/>
        <v>1</v>
      </c>
      <c r="P60" s="5">
        <v>46129</v>
      </c>
      <c r="Q60" s="5"/>
    </row>
    <row r="61" spans="1:17" ht="14.45">
      <c r="A61" t="s">
        <v>19</v>
      </c>
      <c r="B61" t="s">
        <v>20</v>
      </c>
      <c r="C61" t="s">
        <v>21</v>
      </c>
      <c r="D61" t="s">
        <v>261</v>
      </c>
      <c r="E61" t="s">
        <v>30</v>
      </c>
      <c r="F61">
        <v>1</v>
      </c>
      <c r="H61" t="s">
        <v>262</v>
      </c>
      <c r="I61" t="s">
        <v>259</v>
      </c>
      <c r="J61" t="s">
        <v>33</v>
      </c>
      <c r="K61" t="s">
        <v>27</v>
      </c>
      <c r="L61" t="s">
        <v>263</v>
      </c>
      <c r="M61">
        <v>698689</v>
      </c>
      <c r="N61">
        <v>698689</v>
      </c>
      <c r="O61" s="7">
        <f t="shared" si="0"/>
        <v>1</v>
      </c>
      <c r="P61" s="5">
        <v>46129</v>
      </c>
      <c r="Q61" s="5"/>
    </row>
    <row r="62" spans="1:17">
      <c r="A62" t="s">
        <v>19</v>
      </c>
      <c r="B62" t="s">
        <v>20</v>
      </c>
      <c r="C62" t="s">
        <v>21</v>
      </c>
      <c r="D62" t="s">
        <v>264</v>
      </c>
      <c r="E62" t="s">
        <v>30</v>
      </c>
      <c r="F62">
        <v>1</v>
      </c>
      <c r="H62" t="s">
        <v>265</v>
      </c>
      <c r="I62" t="s">
        <v>266</v>
      </c>
      <c r="J62" t="s">
        <v>38</v>
      </c>
      <c r="K62" t="s">
        <v>27</v>
      </c>
      <c r="L62" t="s">
        <v>267</v>
      </c>
      <c r="M62">
        <v>698689</v>
      </c>
      <c r="N62">
        <v>0</v>
      </c>
      <c r="O62" s="7">
        <f t="shared" si="0"/>
        <v>0</v>
      </c>
      <c r="P62" t="s">
        <v>103</v>
      </c>
      <c r="Q62" t="s">
        <v>104</v>
      </c>
    </row>
    <row r="63" spans="1:17" ht="14.45">
      <c r="A63" t="s">
        <v>19</v>
      </c>
      <c r="B63" t="s">
        <v>20</v>
      </c>
      <c r="C63" t="s">
        <v>21</v>
      </c>
      <c r="D63" t="s">
        <v>268</v>
      </c>
      <c r="E63" t="s">
        <v>30</v>
      </c>
      <c r="F63">
        <v>1</v>
      </c>
      <c r="H63" t="s">
        <v>269</v>
      </c>
      <c r="I63" t="s">
        <v>270</v>
      </c>
      <c r="J63" t="s">
        <v>33</v>
      </c>
      <c r="K63" t="s">
        <v>27</v>
      </c>
      <c r="L63" t="s">
        <v>271</v>
      </c>
      <c r="M63">
        <v>698689</v>
      </c>
      <c r="N63">
        <v>175206</v>
      </c>
      <c r="O63" s="7">
        <f t="shared" si="0"/>
        <v>0.25076393073313019</v>
      </c>
      <c r="P63" s="5">
        <v>46129</v>
      </c>
      <c r="Q63" s="5"/>
    </row>
    <row r="64" spans="1:17" ht="14.45">
      <c r="A64" t="s">
        <v>19</v>
      </c>
      <c r="B64" t="s">
        <v>20</v>
      </c>
      <c r="C64" t="s">
        <v>21</v>
      </c>
      <c r="D64" t="s">
        <v>272</v>
      </c>
      <c r="E64" t="s">
        <v>30</v>
      </c>
      <c r="F64">
        <v>1</v>
      </c>
      <c r="H64" t="s">
        <v>273</v>
      </c>
      <c r="I64" t="s">
        <v>162</v>
      </c>
      <c r="J64" t="s">
        <v>33</v>
      </c>
      <c r="K64" t="s">
        <v>27</v>
      </c>
      <c r="L64" t="s">
        <v>274</v>
      </c>
      <c r="M64">
        <v>698689</v>
      </c>
      <c r="N64">
        <v>523483</v>
      </c>
      <c r="O64" s="7">
        <f t="shared" si="0"/>
        <v>0.74923606926686981</v>
      </c>
      <c r="P64" s="5">
        <v>46129</v>
      </c>
      <c r="Q64" s="5"/>
    </row>
    <row r="65" spans="1:17" ht="14.45">
      <c r="A65" t="s">
        <v>19</v>
      </c>
      <c r="B65" t="s">
        <v>20</v>
      </c>
      <c r="C65" t="s">
        <v>21</v>
      </c>
      <c r="D65" t="s">
        <v>275</v>
      </c>
      <c r="E65" t="s">
        <v>30</v>
      </c>
      <c r="F65">
        <v>1</v>
      </c>
      <c r="H65" t="s">
        <v>276</v>
      </c>
      <c r="I65" s="6" t="s">
        <v>277</v>
      </c>
      <c r="J65" t="s">
        <v>33</v>
      </c>
      <c r="K65" t="s">
        <v>27</v>
      </c>
      <c r="L65" t="s">
        <v>278</v>
      </c>
      <c r="M65">
        <v>698689</v>
      </c>
      <c r="N65">
        <v>698689</v>
      </c>
      <c r="O65" s="7">
        <f t="shared" si="0"/>
        <v>1</v>
      </c>
      <c r="P65" s="5">
        <v>46129</v>
      </c>
      <c r="Q65" s="5"/>
    </row>
    <row r="66" spans="1:17" ht="14.45">
      <c r="A66" t="s">
        <v>19</v>
      </c>
      <c r="B66" t="s">
        <v>20</v>
      </c>
      <c r="C66" t="s">
        <v>21</v>
      </c>
      <c r="D66" t="s">
        <v>279</v>
      </c>
      <c r="E66" t="s">
        <v>30</v>
      </c>
      <c r="F66">
        <v>1</v>
      </c>
      <c r="H66" t="s">
        <v>280</v>
      </c>
      <c r="I66" t="s">
        <v>281</v>
      </c>
      <c r="J66" t="s">
        <v>38</v>
      </c>
      <c r="K66" t="s">
        <v>27</v>
      </c>
      <c r="L66" t="s">
        <v>282</v>
      </c>
      <c r="M66">
        <v>698689</v>
      </c>
      <c r="N66">
        <v>599582</v>
      </c>
      <c r="O66" s="7">
        <f t="shared" si="0"/>
        <v>0.85815291209679845</v>
      </c>
      <c r="P66" s="5">
        <v>46129</v>
      </c>
      <c r="Q66" s="5"/>
    </row>
    <row r="67" spans="1:17" ht="14.45">
      <c r="A67" t="s">
        <v>19</v>
      </c>
      <c r="B67" t="s">
        <v>20</v>
      </c>
      <c r="C67" t="s">
        <v>21</v>
      </c>
      <c r="D67" t="s">
        <v>283</v>
      </c>
      <c r="E67" t="s">
        <v>23</v>
      </c>
      <c r="F67">
        <v>1</v>
      </c>
      <c r="H67" s="4" t="s">
        <v>284</v>
      </c>
      <c r="I67" s="4" t="s">
        <v>285</v>
      </c>
      <c r="J67" s="4" t="s">
        <v>139</v>
      </c>
      <c r="K67" s="4" t="s">
        <v>27</v>
      </c>
      <c r="L67" s="4" t="s">
        <v>286</v>
      </c>
      <c r="M67">
        <v>698689</v>
      </c>
      <c r="N67">
        <v>51716</v>
      </c>
      <c r="O67" s="7">
        <f t="shared" ref="O67:O130" si="1">IFERROR(N67/M67,0)</f>
        <v>7.4018626312994759E-2</v>
      </c>
      <c r="P67" s="5">
        <v>46119</v>
      </c>
      <c r="Q67" s="5"/>
    </row>
    <row r="68" spans="1:17" ht="14.45">
      <c r="A68" t="s">
        <v>19</v>
      </c>
      <c r="B68" t="s">
        <v>20</v>
      </c>
      <c r="C68" t="s">
        <v>21</v>
      </c>
      <c r="D68" t="s">
        <v>287</v>
      </c>
      <c r="E68" t="s">
        <v>288</v>
      </c>
      <c r="F68">
        <v>1</v>
      </c>
      <c r="H68" t="s">
        <v>289</v>
      </c>
      <c r="I68" t="s">
        <v>290</v>
      </c>
      <c r="J68" t="s">
        <v>291</v>
      </c>
      <c r="K68" t="s">
        <v>27</v>
      </c>
      <c r="L68" t="s">
        <v>292</v>
      </c>
      <c r="M68">
        <v>698689</v>
      </c>
      <c r="N68">
        <v>51716</v>
      </c>
      <c r="O68" s="7">
        <f t="shared" si="1"/>
        <v>7.4018626312994759E-2</v>
      </c>
      <c r="P68" s="5">
        <v>46119</v>
      </c>
      <c r="Q68" s="5"/>
    </row>
    <row r="69" spans="1:17" ht="14.45">
      <c r="A69" t="s">
        <v>19</v>
      </c>
      <c r="B69" t="s">
        <v>20</v>
      </c>
      <c r="C69" t="s">
        <v>21</v>
      </c>
      <c r="D69" t="s">
        <v>293</v>
      </c>
      <c r="E69" t="s">
        <v>30</v>
      </c>
      <c r="F69">
        <v>1</v>
      </c>
      <c r="H69" t="s">
        <v>294</v>
      </c>
      <c r="I69" t="s">
        <v>281</v>
      </c>
      <c r="J69" t="s">
        <v>38</v>
      </c>
      <c r="K69" t="s">
        <v>27</v>
      </c>
      <c r="L69" t="s">
        <v>295</v>
      </c>
      <c r="M69">
        <v>698689</v>
      </c>
      <c r="N69">
        <v>590883</v>
      </c>
      <c r="O69" s="7">
        <f t="shared" si="1"/>
        <v>0.84570245130523025</v>
      </c>
      <c r="P69" s="5">
        <v>46129</v>
      </c>
      <c r="Q69" s="5"/>
    </row>
    <row r="70" spans="1:17" ht="14.45">
      <c r="A70" t="s">
        <v>19</v>
      </c>
      <c r="B70" t="s">
        <v>20</v>
      </c>
      <c r="C70" t="s">
        <v>21</v>
      </c>
      <c r="D70" t="s">
        <v>296</v>
      </c>
      <c r="E70" t="s">
        <v>23</v>
      </c>
      <c r="F70">
        <v>1</v>
      </c>
      <c r="H70" s="4" t="s">
        <v>297</v>
      </c>
      <c r="I70" s="4" t="s">
        <v>285</v>
      </c>
      <c r="J70" s="4" t="s">
        <v>139</v>
      </c>
      <c r="K70" s="4" t="s">
        <v>27</v>
      </c>
      <c r="L70" s="4" t="s">
        <v>298</v>
      </c>
      <c r="M70">
        <v>698689</v>
      </c>
      <c r="N70">
        <v>22760</v>
      </c>
      <c r="O70" s="7">
        <f t="shared" si="1"/>
        <v>3.2575294587434467E-2</v>
      </c>
      <c r="P70" s="5">
        <v>46119</v>
      </c>
      <c r="Q70" s="5"/>
    </row>
    <row r="71" spans="1:17" ht="14.45">
      <c r="A71" t="s">
        <v>19</v>
      </c>
      <c r="B71" t="s">
        <v>20</v>
      </c>
      <c r="C71" t="s">
        <v>21</v>
      </c>
      <c r="D71" t="s">
        <v>299</v>
      </c>
      <c r="E71" t="s">
        <v>288</v>
      </c>
      <c r="F71">
        <v>1</v>
      </c>
      <c r="H71" t="s">
        <v>300</v>
      </c>
      <c r="I71" t="s">
        <v>290</v>
      </c>
      <c r="J71" t="s">
        <v>291</v>
      </c>
      <c r="K71" t="s">
        <v>27</v>
      </c>
      <c r="L71" t="s">
        <v>301</v>
      </c>
      <c r="M71">
        <v>698689</v>
      </c>
      <c r="N71">
        <v>22760</v>
      </c>
      <c r="O71" s="7">
        <f t="shared" si="1"/>
        <v>3.2575294587434467E-2</v>
      </c>
      <c r="P71" s="5">
        <v>46119</v>
      </c>
      <c r="Q71" s="5"/>
    </row>
    <row r="72" spans="1:17">
      <c r="A72" t="s">
        <v>19</v>
      </c>
      <c r="B72" t="s">
        <v>20</v>
      </c>
      <c r="C72" t="s">
        <v>21</v>
      </c>
      <c r="D72" t="s">
        <v>302</v>
      </c>
      <c r="E72" t="s">
        <v>30</v>
      </c>
      <c r="F72">
        <v>1</v>
      </c>
      <c r="H72" t="s">
        <v>303</v>
      </c>
      <c r="I72" s="6" t="s">
        <v>304</v>
      </c>
      <c r="J72" t="s">
        <v>33</v>
      </c>
      <c r="K72" t="s">
        <v>27</v>
      </c>
      <c r="L72" t="s">
        <v>305</v>
      </c>
      <c r="M72">
        <v>698689</v>
      </c>
      <c r="N72">
        <v>2474</v>
      </c>
      <c r="O72" s="7">
        <f t="shared" si="1"/>
        <v>3.5409173466306181E-3</v>
      </c>
      <c r="P72" s="5">
        <v>45565</v>
      </c>
      <c r="Q72" s="9" t="s">
        <v>306</v>
      </c>
    </row>
    <row r="73" spans="1:17">
      <c r="A73" t="s">
        <v>19</v>
      </c>
      <c r="B73" t="s">
        <v>20</v>
      </c>
      <c r="C73" t="s">
        <v>21</v>
      </c>
      <c r="D73" t="s">
        <v>307</v>
      </c>
      <c r="E73" t="s">
        <v>30</v>
      </c>
      <c r="F73">
        <v>1</v>
      </c>
      <c r="H73" t="s">
        <v>308</v>
      </c>
      <c r="I73" t="s">
        <v>81</v>
      </c>
      <c r="J73" t="s">
        <v>38</v>
      </c>
      <c r="K73" t="s">
        <v>27</v>
      </c>
      <c r="L73" t="s">
        <v>307</v>
      </c>
      <c r="M73">
        <v>698689</v>
      </c>
      <c r="N73">
        <v>2463</v>
      </c>
      <c r="O73" s="7">
        <f t="shared" si="1"/>
        <v>3.525173575081331E-3</v>
      </c>
      <c r="P73" s="5">
        <v>45565</v>
      </c>
      <c r="Q73" s="9"/>
    </row>
    <row r="74" spans="1:17">
      <c r="A74" t="s">
        <v>19</v>
      </c>
      <c r="B74" t="s">
        <v>20</v>
      </c>
      <c r="C74" t="s">
        <v>21</v>
      </c>
      <c r="D74" t="s">
        <v>309</v>
      </c>
      <c r="E74" t="s">
        <v>23</v>
      </c>
      <c r="F74">
        <v>1</v>
      </c>
      <c r="H74" s="4" t="s">
        <v>310</v>
      </c>
      <c r="I74" s="4" t="s">
        <v>285</v>
      </c>
      <c r="J74" s="4" t="s">
        <v>139</v>
      </c>
      <c r="K74" s="4" t="s">
        <v>27</v>
      </c>
      <c r="L74" s="4" t="s">
        <v>311</v>
      </c>
      <c r="M74">
        <v>698689</v>
      </c>
      <c r="N74">
        <v>2474</v>
      </c>
      <c r="O74" s="7">
        <f t="shared" si="1"/>
        <v>3.5409173466306181E-3</v>
      </c>
      <c r="P74" s="5">
        <v>45565</v>
      </c>
      <c r="Q74" s="9"/>
    </row>
    <row r="75" spans="1:17">
      <c r="A75" t="s">
        <v>19</v>
      </c>
      <c r="B75" t="s">
        <v>20</v>
      </c>
      <c r="C75" t="s">
        <v>21</v>
      </c>
      <c r="D75" t="s">
        <v>312</v>
      </c>
      <c r="E75" t="s">
        <v>288</v>
      </c>
      <c r="F75">
        <v>1</v>
      </c>
      <c r="H75" t="s">
        <v>313</v>
      </c>
      <c r="I75" t="s">
        <v>290</v>
      </c>
      <c r="J75" t="s">
        <v>291</v>
      </c>
      <c r="K75" t="s">
        <v>27</v>
      </c>
      <c r="L75" t="s">
        <v>314</v>
      </c>
      <c r="M75">
        <v>698689</v>
      </c>
      <c r="N75">
        <v>2474</v>
      </c>
      <c r="O75" s="7">
        <f t="shared" si="1"/>
        <v>3.5409173466306181E-3</v>
      </c>
      <c r="P75" s="5">
        <v>45565</v>
      </c>
      <c r="Q75" s="9"/>
    </row>
    <row r="76" spans="1:17" ht="14.45">
      <c r="A76" t="s">
        <v>19</v>
      </c>
      <c r="B76" t="s">
        <v>20</v>
      </c>
      <c r="C76" t="s">
        <v>21</v>
      </c>
      <c r="D76" t="s">
        <v>315</v>
      </c>
      <c r="E76" t="s">
        <v>30</v>
      </c>
      <c r="F76">
        <v>1</v>
      </c>
      <c r="H76" t="s">
        <v>316</v>
      </c>
      <c r="I76" s="6" t="s">
        <v>317</v>
      </c>
      <c r="J76" t="s">
        <v>33</v>
      </c>
      <c r="K76" t="s">
        <v>27</v>
      </c>
      <c r="L76" t="s">
        <v>318</v>
      </c>
      <c r="M76">
        <v>698689</v>
      </c>
      <c r="N76">
        <v>52592</v>
      </c>
      <c r="O76" s="7">
        <f t="shared" si="1"/>
        <v>7.5272403029101639E-2</v>
      </c>
      <c r="P76" s="5">
        <v>46127</v>
      </c>
      <c r="Q76" s="5"/>
    </row>
    <row r="77" spans="1:17" ht="14.45">
      <c r="A77" t="s">
        <v>19</v>
      </c>
      <c r="B77" t="s">
        <v>20</v>
      </c>
      <c r="C77" t="s">
        <v>21</v>
      </c>
      <c r="D77" t="s">
        <v>319</v>
      </c>
      <c r="E77" t="s">
        <v>30</v>
      </c>
      <c r="F77">
        <v>1</v>
      </c>
      <c r="H77" t="s">
        <v>320</v>
      </c>
      <c r="I77" t="s">
        <v>81</v>
      </c>
      <c r="J77" t="s">
        <v>38</v>
      </c>
      <c r="K77" t="s">
        <v>27</v>
      </c>
      <c r="L77" t="s">
        <v>321</v>
      </c>
      <c r="M77">
        <v>698689</v>
      </c>
      <c r="N77">
        <v>19228</v>
      </c>
      <c r="O77" s="7">
        <f t="shared" si="1"/>
        <v>2.7520112668154215E-2</v>
      </c>
      <c r="P77" s="5">
        <v>46127</v>
      </c>
      <c r="Q77" s="5"/>
    </row>
    <row r="78" spans="1:17" ht="14.45">
      <c r="A78" t="s">
        <v>19</v>
      </c>
      <c r="B78" t="s">
        <v>20</v>
      </c>
      <c r="C78" t="s">
        <v>21</v>
      </c>
      <c r="D78" t="s">
        <v>322</v>
      </c>
      <c r="E78" t="s">
        <v>23</v>
      </c>
      <c r="F78">
        <v>1</v>
      </c>
      <c r="H78" s="4" t="s">
        <v>323</v>
      </c>
      <c r="I78" s="4" t="s">
        <v>285</v>
      </c>
      <c r="J78" s="4" t="s">
        <v>139</v>
      </c>
      <c r="K78" s="4" t="s">
        <v>27</v>
      </c>
      <c r="L78" s="4" t="s">
        <v>324</v>
      </c>
      <c r="M78">
        <v>698689</v>
      </c>
      <c r="N78">
        <v>19229</v>
      </c>
      <c r="O78" s="7">
        <f t="shared" si="1"/>
        <v>2.7521543920113242E-2</v>
      </c>
      <c r="P78" s="5">
        <v>46127</v>
      </c>
      <c r="Q78" s="5"/>
    </row>
    <row r="79" spans="1:17" ht="14.45">
      <c r="A79" t="s">
        <v>19</v>
      </c>
      <c r="B79" t="s">
        <v>20</v>
      </c>
      <c r="C79" t="s">
        <v>21</v>
      </c>
      <c r="D79" t="s">
        <v>325</v>
      </c>
      <c r="E79" t="s">
        <v>288</v>
      </c>
      <c r="F79">
        <v>1</v>
      </c>
      <c r="H79" t="s">
        <v>326</v>
      </c>
      <c r="I79" t="s">
        <v>290</v>
      </c>
      <c r="J79" t="s">
        <v>291</v>
      </c>
      <c r="K79" t="s">
        <v>27</v>
      </c>
      <c r="L79" t="s">
        <v>327</v>
      </c>
      <c r="M79">
        <v>698689</v>
      </c>
      <c r="N79">
        <v>69292</v>
      </c>
      <c r="O79" s="7">
        <f t="shared" si="1"/>
        <v>9.9174310744837832E-2</v>
      </c>
      <c r="P79" s="5">
        <v>46127</v>
      </c>
      <c r="Q79" s="5"/>
    </row>
    <row r="80" spans="1:17" ht="14.45">
      <c r="A80" t="s">
        <v>19</v>
      </c>
      <c r="B80" t="s">
        <v>20</v>
      </c>
      <c r="C80" t="s">
        <v>21</v>
      </c>
      <c r="D80" t="s">
        <v>328</v>
      </c>
      <c r="E80" t="s">
        <v>30</v>
      </c>
      <c r="F80">
        <v>1</v>
      </c>
      <c r="H80" t="s">
        <v>329</v>
      </c>
      <c r="I80" t="s">
        <v>281</v>
      </c>
      <c r="J80" t="s">
        <v>38</v>
      </c>
      <c r="K80" t="s">
        <v>27</v>
      </c>
      <c r="L80" t="s">
        <v>330</v>
      </c>
      <c r="M80">
        <v>698689</v>
      </c>
      <c r="N80">
        <v>30020</v>
      </c>
      <c r="O80" s="7">
        <f t="shared" si="1"/>
        <v>4.2966183809964087E-2</v>
      </c>
      <c r="P80" s="5">
        <v>46106</v>
      </c>
      <c r="Q80" s="5"/>
    </row>
    <row r="81" spans="1:17" ht="14.45">
      <c r="A81" t="s">
        <v>19</v>
      </c>
      <c r="B81" t="s">
        <v>20</v>
      </c>
      <c r="C81" t="s">
        <v>21</v>
      </c>
      <c r="D81" t="s">
        <v>331</v>
      </c>
      <c r="E81" t="s">
        <v>23</v>
      </c>
      <c r="F81">
        <v>1</v>
      </c>
      <c r="H81" s="4" t="s">
        <v>332</v>
      </c>
      <c r="I81" s="4" t="s">
        <v>285</v>
      </c>
      <c r="J81" s="4" t="s">
        <v>139</v>
      </c>
      <c r="K81" s="4" t="s">
        <v>27</v>
      </c>
      <c r="L81" s="4" t="s">
        <v>333</v>
      </c>
      <c r="M81">
        <v>698689</v>
      </c>
      <c r="N81">
        <v>30541</v>
      </c>
      <c r="O81" s="7">
        <f t="shared" si="1"/>
        <v>4.3711866080616696E-2</v>
      </c>
      <c r="P81" s="5">
        <v>46106</v>
      </c>
      <c r="Q81" s="5"/>
    </row>
    <row r="82" spans="1:17" ht="14.45">
      <c r="A82" t="s">
        <v>19</v>
      </c>
      <c r="B82" t="s">
        <v>20</v>
      </c>
      <c r="C82" t="s">
        <v>21</v>
      </c>
      <c r="D82" t="s">
        <v>334</v>
      </c>
      <c r="E82" t="s">
        <v>288</v>
      </c>
      <c r="F82">
        <v>1</v>
      </c>
      <c r="H82" t="s">
        <v>335</v>
      </c>
      <c r="I82" t="s">
        <v>290</v>
      </c>
      <c r="J82" t="s">
        <v>291</v>
      </c>
      <c r="K82" t="s">
        <v>27</v>
      </c>
      <c r="L82" t="s">
        <v>336</v>
      </c>
      <c r="M82">
        <v>698689</v>
      </c>
      <c r="N82">
        <v>31613</v>
      </c>
      <c r="O82" s="7">
        <f t="shared" si="1"/>
        <v>4.52461681806927E-2</v>
      </c>
      <c r="P82" s="5">
        <v>46106</v>
      </c>
      <c r="Q82" s="5"/>
    </row>
    <row r="83" spans="1:17">
      <c r="A83" t="s">
        <v>19</v>
      </c>
      <c r="B83" t="s">
        <v>20</v>
      </c>
      <c r="C83" t="s">
        <v>21</v>
      </c>
      <c r="D83" t="s">
        <v>337</v>
      </c>
      <c r="E83" t="s">
        <v>30</v>
      </c>
      <c r="F83">
        <v>1</v>
      </c>
      <c r="H83" t="s">
        <v>338</v>
      </c>
      <c r="I83" s="6" t="s">
        <v>339</v>
      </c>
      <c r="J83" t="s">
        <v>33</v>
      </c>
      <c r="K83" t="s">
        <v>27</v>
      </c>
      <c r="L83" t="s">
        <v>340</v>
      </c>
      <c r="M83">
        <v>698689</v>
      </c>
      <c r="N83">
        <v>562</v>
      </c>
      <c r="O83" s="7">
        <f t="shared" si="1"/>
        <v>8.0436360097267884E-4</v>
      </c>
      <c r="P83" s="5">
        <v>45919</v>
      </c>
      <c r="Q83" s="9" t="s">
        <v>341</v>
      </c>
    </row>
    <row r="84" spans="1:17">
      <c r="A84" t="s">
        <v>19</v>
      </c>
      <c r="B84" t="s">
        <v>20</v>
      </c>
      <c r="C84" t="s">
        <v>21</v>
      </c>
      <c r="D84" t="s">
        <v>342</v>
      </c>
      <c r="E84" t="s">
        <v>23</v>
      </c>
      <c r="F84">
        <v>1</v>
      </c>
      <c r="H84" s="4" t="s">
        <v>343</v>
      </c>
      <c r="I84" s="4" t="s">
        <v>285</v>
      </c>
      <c r="J84" s="4" t="s">
        <v>139</v>
      </c>
      <c r="K84" s="4" t="s">
        <v>27</v>
      </c>
      <c r="L84" s="4" t="s">
        <v>344</v>
      </c>
      <c r="M84">
        <v>698689</v>
      </c>
      <c r="N84">
        <v>562</v>
      </c>
      <c r="O84" s="7">
        <f t="shared" si="1"/>
        <v>8.0436360097267884E-4</v>
      </c>
      <c r="P84" s="5">
        <v>45919</v>
      </c>
      <c r="Q84" s="9"/>
    </row>
    <row r="85" spans="1:17">
      <c r="A85" t="s">
        <v>19</v>
      </c>
      <c r="B85" t="s">
        <v>20</v>
      </c>
      <c r="C85" t="s">
        <v>21</v>
      </c>
      <c r="D85" t="s">
        <v>345</v>
      </c>
      <c r="E85" t="s">
        <v>288</v>
      </c>
      <c r="F85">
        <v>1</v>
      </c>
      <c r="H85" t="s">
        <v>346</v>
      </c>
      <c r="I85" t="s">
        <v>290</v>
      </c>
      <c r="J85" t="s">
        <v>291</v>
      </c>
      <c r="K85" t="s">
        <v>27</v>
      </c>
      <c r="L85" t="s">
        <v>347</v>
      </c>
      <c r="M85">
        <v>698689</v>
      </c>
      <c r="N85">
        <v>562</v>
      </c>
      <c r="O85" s="7">
        <f t="shared" si="1"/>
        <v>8.0436360097267884E-4</v>
      </c>
      <c r="P85" s="5">
        <v>45919</v>
      </c>
      <c r="Q85" s="9"/>
    </row>
    <row r="86" spans="1:17" ht="14.45">
      <c r="A86" t="s">
        <v>19</v>
      </c>
      <c r="B86" t="s">
        <v>20</v>
      </c>
      <c r="C86" t="s">
        <v>21</v>
      </c>
      <c r="D86" t="s">
        <v>348</v>
      </c>
      <c r="E86" t="s">
        <v>30</v>
      </c>
      <c r="F86">
        <v>1</v>
      </c>
      <c r="H86" t="s">
        <v>349</v>
      </c>
      <c r="I86" s="6" t="s">
        <v>339</v>
      </c>
      <c r="J86" t="s">
        <v>33</v>
      </c>
      <c r="K86" t="s">
        <v>27</v>
      </c>
      <c r="L86" t="s">
        <v>350</v>
      </c>
      <c r="M86">
        <v>698689</v>
      </c>
      <c r="N86">
        <v>1224</v>
      </c>
      <c r="O86" s="7">
        <f t="shared" si="1"/>
        <v>1.7518523978479696E-3</v>
      </c>
      <c r="P86" s="5">
        <v>46035</v>
      </c>
      <c r="Q86" s="5"/>
    </row>
    <row r="87" spans="1:17" ht="14.45">
      <c r="A87" t="s">
        <v>19</v>
      </c>
      <c r="B87" t="s">
        <v>20</v>
      </c>
      <c r="C87" t="s">
        <v>21</v>
      </c>
      <c r="D87" t="s">
        <v>351</v>
      </c>
      <c r="E87" t="s">
        <v>23</v>
      </c>
      <c r="F87">
        <v>1</v>
      </c>
      <c r="H87" s="4" t="s">
        <v>352</v>
      </c>
      <c r="I87" s="4" t="s">
        <v>285</v>
      </c>
      <c r="J87" s="4" t="s">
        <v>139</v>
      </c>
      <c r="K87" s="4" t="s">
        <v>27</v>
      </c>
      <c r="L87" s="4" t="s">
        <v>353</v>
      </c>
      <c r="M87">
        <v>698689</v>
      </c>
      <c r="N87">
        <v>1224</v>
      </c>
      <c r="O87" s="7">
        <f t="shared" si="1"/>
        <v>1.7518523978479696E-3</v>
      </c>
      <c r="P87" s="5">
        <v>46035</v>
      </c>
      <c r="Q87" s="5"/>
    </row>
    <row r="88" spans="1:17" ht="14.45">
      <c r="A88" t="s">
        <v>19</v>
      </c>
      <c r="B88" t="s">
        <v>20</v>
      </c>
      <c r="C88" t="s">
        <v>21</v>
      </c>
      <c r="D88" t="s">
        <v>354</v>
      </c>
      <c r="E88" t="s">
        <v>288</v>
      </c>
      <c r="F88">
        <v>1</v>
      </c>
      <c r="H88" t="s">
        <v>355</v>
      </c>
      <c r="I88" t="s">
        <v>290</v>
      </c>
      <c r="J88" t="s">
        <v>291</v>
      </c>
      <c r="K88" t="s">
        <v>27</v>
      </c>
      <c r="L88" t="s">
        <v>356</v>
      </c>
      <c r="M88">
        <v>698689</v>
      </c>
      <c r="N88">
        <v>1224</v>
      </c>
      <c r="O88" s="7">
        <f t="shared" si="1"/>
        <v>1.7518523978479696E-3</v>
      </c>
      <c r="P88" s="5">
        <v>46035</v>
      </c>
      <c r="Q88" s="5"/>
    </row>
    <row r="89" spans="1:17">
      <c r="A89" t="s">
        <v>19</v>
      </c>
      <c r="B89" t="s">
        <v>20</v>
      </c>
      <c r="C89" t="s">
        <v>21</v>
      </c>
      <c r="D89" t="s">
        <v>357</v>
      </c>
      <c r="E89" t="s">
        <v>30</v>
      </c>
      <c r="F89">
        <v>1</v>
      </c>
      <c r="H89" t="s">
        <v>358</v>
      </c>
      <c r="I89" s="6" t="s">
        <v>359</v>
      </c>
      <c r="J89" t="s">
        <v>33</v>
      </c>
      <c r="K89" t="s">
        <v>27</v>
      </c>
      <c r="L89" t="s">
        <v>360</v>
      </c>
      <c r="M89">
        <v>698689</v>
      </c>
      <c r="N89">
        <v>295</v>
      </c>
      <c r="O89" s="7">
        <f t="shared" si="1"/>
        <v>4.2221932791270506E-4</v>
      </c>
      <c r="P89" s="5">
        <v>45719</v>
      </c>
      <c r="Q89" s="9" t="s">
        <v>361</v>
      </c>
    </row>
    <row r="90" spans="1:17">
      <c r="A90" t="s">
        <v>19</v>
      </c>
      <c r="B90" t="s">
        <v>20</v>
      </c>
      <c r="C90" t="s">
        <v>21</v>
      </c>
      <c r="D90" t="s">
        <v>362</v>
      </c>
      <c r="E90" t="s">
        <v>23</v>
      </c>
      <c r="F90">
        <v>1</v>
      </c>
      <c r="H90" s="4" t="s">
        <v>363</v>
      </c>
      <c r="I90" s="4" t="s">
        <v>285</v>
      </c>
      <c r="J90" s="4" t="s">
        <v>139</v>
      </c>
      <c r="K90" s="4" t="s">
        <v>27</v>
      </c>
      <c r="L90" s="4" t="s">
        <v>364</v>
      </c>
      <c r="M90">
        <v>698689</v>
      </c>
      <c r="N90">
        <v>295</v>
      </c>
      <c r="O90" s="7">
        <f t="shared" si="1"/>
        <v>4.2221932791270506E-4</v>
      </c>
      <c r="P90" s="5">
        <v>45719</v>
      </c>
      <c r="Q90" s="9"/>
    </row>
    <row r="91" spans="1:17">
      <c r="A91" t="s">
        <v>19</v>
      </c>
      <c r="B91" t="s">
        <v>20</v>
      </c>
      <c r="C91" t="s">
        <v>21</v>
      </c>
      <c r="D91" t="s">
        <v>365</v>
      </c>
      <c r="E91" t="s">
        <v>288</v>
      </c>
      <c r="F91">
        <v>1</v>
      </c>
      <c r="H91" t="s">
        <v>366</v>
      </c>
      <c r="I91" t="s">
        <v>290</v>
      </c>
      <c r="J91" t="s">
        <v>291</v>
      </c>
      <c r="K91" t="s">
        <v>27</v>
      </c>
      <c r="L91" t="s">
        <v>367</v>
      </c>
      <c r="M91">
        <v>698689</v>
      </c>
      <c r="N91">
        <v>295</v>
      </c>
      <c r="O91" s="7">
        <f t="shared" si="1"/>
        <v>4.2221932791270506E-4</v>
      </c>
      <c r="P91" s="5">
        <v>45719</v>
      </c>
      <c r="Q91" s="9"/>
    </row>
    <row r="92" spans="1:17">
      <c r="A92" t="s">
        <v>19</v>
      </c>
      <c r="B92" t="s">
        <v>20</v>
      </c>
      <c r="C92" t="s">
        <v>21</v>
      </c>
      <c r="D92" t="s">
        <v>368</v>
      </c>
      <c r="E92" t="s">
        <v>30</v>
      </c>
      <c r="F92">
        <v>1</v>
      </c>
      <c r="H92" t="s">
        <v>369</v>
      </c>
      <c r="I92" s="6" t="s">
        <v>125</v>
      </c>
      <c r="J92" t="s">
        <v>33</v>
      </c>
      <c r="K92" t="s">
        <v>27</v>
      </c>
      <c r="L92" t="s">
        <v>370</v>
      </c>
      <c r="M92">
        <v>698689</v>
      </c>
      <c r="N92">
        <v>28</v>
      </c>
      <c r="O92" s="7">
        <f t="shared" si="1"/>
        <v>4.007505485273133E-5</v>
      </c>
      <c r="P92" s="5">
        <v>45692</v>
      </c>
      <c r="Q92" s="10" t="s">
        <v>371</v>
      </c>
    </row>
    <row r="93" spans="1:17">
      <c r="A93" t="s">
        <v>19</v>
      </c>
      <c r="B93" t="s">
        <v>20</v>
      </c>
      <c r="C93" t="s">
        <v>21</v>
      </c>
      <c r="D93" t="s">
        <v>372</v>
      </c>
      <c r="E93" t="s">
        <v>30</v>
      </c>
      <c r="F93">
        <v>1</v>
      </c>
      <c r="H93" t="s">
        <v>373</v>
      </c>
      <c r="I93" t="s">
        <v>81</v>
      </c>
      <c r="J93" t="s">
        <v>38</v>
      </c>
      <c r="K93" t="s">
        <v>27</v>
      </c>
      <c r="L93" t="s">
        <v>374</v>
      </c>
      <c r="M93">
        <v>698689</v>
      </c>
      <c r="N93">
        <v>9</v>
      </c>
      <c r="O93" s="7">
        <f t="shared" si="1"/>
        <v>1.2881267631235071E-5</v>
      </c>
      <c r="P93" s="5">
        <v>45657</v>
      </c>
      <c r="Q93" s="9"/>
    </row>
    <row r="94" spans="1:17">
      <c r="A94" t="s">
        <v>19</v>
      </c>
      <c r="B94" t="s">
        <v>20</v>
      </c>
      <c r="C94" t="s">
        <v>21</v>
      </c>
      <c r="D94" t="s">
        <v>375</v>
      </c>
      <c r="E94" t="s">
        <v>23</v>
      </c>
      <c r="F94">
        <v>1</v>
      </c>
      <c r="H94" s="4" t="s">
        <v>376</v>
      </c>
      <c r="I94" s="4" t="s">
        <v>285</v>
      </c>
      <c r="J94" s="4" t="s">
        <v>139</v>
      </c>
      <c r="K94" s="4" t="s">
        <v>27</v>
      </c>
      <c r="L94" s="4" t="s">
        <v>377</v>
      </c>
      <c r="M94">
        <v>698689</v>
      </c>
      <c r="N94">
        <v>28</v>
      </c>
      <c r="O94" s="7">
        <f t="shared" si="1"/>
        <v>4.007505485273133E-5</v>
      </c>
      <c r="P94" s="5">
        <v>45692</v>
      </c>
      <c r="Q94" s="9"/>
    </row>
    <row r="95" spans="1:17">
      <c r="A95" t="s">
        <v>19</v>
      </c>
      <c r="B95" t="s">
        <v>20</v>
      </c>
      <c r="C95" t="s">
        <v>21</v>
      </c>
      <c r="D95" t="s">
        <v>378</v>
      </c>
      <c r="E95" t="s">
        <v>288</v>
      </c>
      <c r="F95">
        <v>1</v>
      </c>
      <c r="H95" t="s">
        <v>379</v>
      </c>
      <c r="I95" t="s">
        <v>290</v>
      </c>
      <c r="J95" t="s">
        <v>291</v>
      </c>
      <c r="K95" t="s">
        <v>27</v>
      </c>
      <c r="L95" t="s">
        <v>380</v>
      </c>
      <c r="M95">
        <v>698689</v>
      </c>
      <c r="N95">
        <v>28</v>
      </c>
      <c r="O95" s="7">
        <f t="shared" si="1"/>
        <v>4.007505485273133E-5</v>
      </c>
      <c r="P95" s="5">
        <v>45692</v>
      </c>
      <c r="Q95" s="9"/>
    </row>
    <row r="96" spans="1:17">
      <c r="A96" t="s">
        <v>19</v>
      </c>
      <c r="B96" t="s">
        <v>20</v>
      </c>
      <c r="C96" t="s">
        <v>21</v>
      </c>
      <c r="D96" t="s">
        <v>381</v>
      </c>
      <c r="E96" t="s">
        <v>30</v>
      </c>
      <c r="F96">
        <v>1</v>
      </c>
      <c r="H96" t="s">
        <v>382</v>
      </c>
      <c r="I96" s="6" t="s">
        <v>383</v>
      </c>
      <c r="J96" t="s">
        <v>33</v>
      </c>
      <c r="K96" t="s">
        <v>27</v>
      </c>
      <c r="L96" t="s">
        <v>384</v>
      </c>
      <c r="M96">
        <v>698689</v>
      </c>
      <c r="N96">
        <v>22</v>
      </c>
      <c r="O96" s="7">
        <f t="shared" si="1"/>
        <v>3.1487543098574615E-5</v>
      </c>
      <c r="P96" s="5">
        <v>45912</v>
      </c>
      <c r="Q96" s="9"/>
    </row>
    <row r="97" spans="1:17">
      <c r="A97" t="s">
        <v>19</v>
      </c>
      <c r="B97" t="s">
        <v>20</v>
      </c>
      <c r="C97" t="s">
        <v>21</v>
      </c>
      <c r="D97" t="s">
        <v>385</v>
      </c>
      <c r="E97" t="s">
        <v>30</v>
      </c>
      <c r="F97">
        <v>1</v>
      </c>
      <c r="H97" t="s">
        <v>386</v>
      </c>
      <c r="I97" t="s">
        <v>81</v>
      </c>
      <c r="J97" t="s">
        <v>38</v>
      </c>
      <c r="K97" t="s">
        <v>27</v>
      </c>
      <c r="L97" t="s">
        <v>385</v>
      </c>
      <c r="M97">
        <v>698689</v>
      </c>
      <c r="N97">
        <v>16</v>
      </c>
      <c r="O97" s="7">
        <f t="shared" si="1"/>
        <v>2.2900031344417904E-5</v>
      </c>
      <c r="P97" s="5">
        <v>45912</v>
      </c>
      <c r="Q97" s="9"/>
    </row>
    <row r="98" spans="1:17">
      <c r="A98" t="s">
        <v>19</v>
      </c>
      <c r="B98" t="s">
        <v>20</v>
      </c>
      <c r="C98" t="s">
        <v>21</v>
      </c>
      <c r="D98" t="s">
        <v>387</v>
      </c>
      <c r="E98" t="s">
        <v>23</v>
      </c>
      <c r="F98">
        <v>1</v>
      </c>
      <c r="H98" s="4" t="s">
        <v>388</v>
      </c>
      <c r="I98" s="4" t="s">
        <v>285</v>
      </c>
      <c r="J98" s="4" t="s">
        <v>139</v>
      </c>
      <c r="K98" s="4" t="s">
        <v>27</v>
      </c>
      <c r="L98" s="4" t="s">
        <v>389</v>
      </c>
      <c r="M98">
        <v>698689</v>
      </c>
      <c r="N98">
        <v>22</v>
      </c>
      <c r="O98" s="7">
        <f t="shared" si="1"/>
        <v>3.1487543098574615E-5</v>
      </c>
      <c r="P98" s="5">
        <v>45912</v>
      </c>
      <c r="Q98" s="9"/>
    </row>
    <row r="99" spans="1:17">
      <c r="A99" t="s">
        <v>19</v>
      </c>
      <c r="B99" t="s">
        <v>20</v>
      </c>
      <c r="C99" t="s">
        <v>21</v>
      </c>
      <c r="D99" t="s">
        <v>390</v>
      </c>
      <c r="E99" t="s">
        <v>288</v>
      </c>
      <c r="F99">
        <v>1</v>
      </c>
      <c r="H99" t="s">
        <v>391</v>
      </c>
      <c r="I99" t="s">
        <v>290</v>
      </c>
      <c r="J99" t="s">
        <v>291</v>
      </c>
      <c r="K99" t="s">
        <v>27</v>
      </c>
      <c r="L99" t="s">
        <v>392</v>
      </c>
      <c r="M99">
        <v>698689</v>
      </c>
      <c r="N99">
        <v>22</v>
      </c>
      <c r="O99" s="7">
        <f t="shared" si="1"/>
        <v>3.1487543098574615E-5</v>
      </c>
      <c r="P99" s="5">
        <v>45912</v>
      </c>
      <c r="Q99" s="9"/>
    </row>
    <row r="100" spans="1:17">
      <c r="A100" t="s">
        <v>19</v>
      </c>
      <c r="B100" t="s">
        <v>20</v>
      </c>
      <c r="C100" t="s">
        <v>21</v>
      </c>
      <c r="D100" t="s">
        <v>393</v>
      </c>
      <c r="E100" t="s">
        <v>30</v>
      </c>
      <c r="F100">
        <v>1</v>
      </c>
      <c r="H100" t="s">
        <v>394</v>
      </c>
      <c r="I100" s="6" t="s">
        <v>395</v>
      </c>
      <c r="J100" t="s">
        <v>33</v>
      </c>
      <c r="K100" t="s">
        <v>27</v>
      </c>
      <c r="L100" t="s">
        <v>396</v>
      </c>
      <c r="M100">
        <v>698689</v>
      </c>
      <c r="N100">
        <v>22</v>
      </c>
      <c r="O100" s="7">
        <f t="shared" si="1"/>
        <v>3.1487543098574615E-5</v>
      </c>
      <c r="P100" s="5">
        <v>45721</v>
      </c>
      <c r="Q100" s="9"/>
    </row>
    <row r="101" spans="1:17">
      <c r="A101" t="s">
        <v>19</v>
      </c>
      <c r="B101" t="s">
        <v>20</v>
      </c>
      <c r="C101" t="s">
        <v>21</v>
      </c>
      <c r="D101" t="s">
        <v>397</v>
      </c>
      <c r="E101" t="s">
        <v>30</v>
      </c>
      <c r="F101">
        <v>1</v>
      </c>
      <c r="H101" t="s">
        <v>398</v>
      </c>
      <c r="I101" t="s">
        <v>81</v>
      </c>
      <c r="J101" t="s">
        <v>38</v>
      </c>
      <c r="K101" t="s">
        <v>27</v>
      </c>
      <c r="L101" t="s">
        <v>397</v>
      </c>
      <c r="M101">
        <v>698689</v>
      </c>
      <c r="N101">
        <v>11</v>
      </c>
      <c r="O101" s="7">
        <f t="shared" si="1"/>
        <v>1.5743771549287308E-5</v>
      </c>
      <c r="P101" s="5">
        <v>45627</v>
      </c>
      <c r="Q101" s="9"/>
    </row>
    <row r="102" spans="1:17">
      <c r="A102" t="s">
        <v>19</v>
      </c>
      <c r="B102" t="s">
        <v>20</v>
      </c>
      <c r="C102" t="s">
        <v>21</v>
      </c>
      <c r="D102" t="s">
        <v>399</v>
      </c>
      <c r="E102" t="s">
        <v>23</v>
      </c>
      <c r="F102">
        <v>1</v>
      </c>
      <c r="H102" s="4" t="s">
        <v>400</v>
      </c>
      <c r="I102" s="4" t="s">
        <v>285</v>
      </c>
      <c r="J102" s="4" t="s">
        <v>139</v>
      </c>
      <c r="K102" s="4" t="s">
        <v>27</v>
      </c>
      <c r="L102" s="4" t="s">
        <v>401</v>
      </c>
      <c r="M102">
        <v>698689</v>
      </c>
      <c r="N102">
        <v>22</v>
      </c>
      <c r="O102" s="7">
        <f t="shared" si="1"/>
        <v>3.1487543098574615E-5</v>
      </c>
      <c r="P102" s="5">
        <v>45721</v>
      </c>
      <c r="Q102" s="9"/>
    </row>
    <row r="103" spans="1:17">
      <c r="A103" t="s">
        <v>19</v>
      </c>
      <c r="B103" t="s">
        <v>20</v>
      </c>
      <c r="C103" t="s">
        <v>21</v>
      </c>
      <c r="D103" t="s">
        <v>402</v>
      </c>
      <c r="E103" t="s">
        <v>288</v>
      </c>
      <c r="F103">
        <v>1</v>
      </c>
      <c r="H103" t="s">
        <v>403</v>
      </c>
      <c r="I103" t="s">
        <v>290</v>
      </c>
      <c r="J103" t="s">
        <v>291</v>
      </c>
      <c r="K103" t="s">
        <v>27</v>
      </c>
      <c r="L103" t="s">
        <v>404</v>
      </c>
      <c r="M103">
        <v>698689</v>
      </c>
      <c r="N103">
        <v>22</v>
      </c>
      <c r="O103" s="7">
        <f t="shared" si="1"/>
        <v>3.1487543098574615E-5</v>
      </c>
      <c r="P103" s="5">
        <v>45721</v>
      </c>
      <c r="Q103" s="9"/>
    </row>
    <row r="104" spans="1:17">
      <c r="A104" t="s">
        <v>19</v>
      </c>
      <c r="B104" t="s">
        <v>20</v>
      </c>
      <c r="C104" t="s">
        <v>21</v>
      </c>
      <c r="D104" t="s">
        <v>405</v>
      </c>
      <c r="E104" t="s">
        <v>30</v>
      </c>
      <c r="F104">
        <v>1</v>
      </c>
      <c r="H104" t="s">
        <v>406</v>
      </c>
      <c r="I104" s="6" t="s">
        <v>407</v>
      </c>
      <c r="J104" t="s">
        <v>33</v>
      </c>
      <c r="K104" t="s">
        <v>27</v>
      </c>
      <c r="L104" t="s">
        <v>408</v>
      </c>
      <c r="M104">
        <v>698689</v>
      </c>
      <c r="N104">
        <v>30</v>
      </c>
      <c r="O104" s="7">
        <f t="shared" si="1"/>
        <v>4.2937558770783569E-5</v>
      </c>
      <c r="P104" s="5">
        <v>45703</v>
      </c>
      <c r="Q104" s="9" t="s">
        <v>409</v>
      </c>
    </row>
    <row r="105" spans="1:17">
      <c r="A105" t="s">
        <v>19</v>
      </c>
      <c r="B105" t="s">
        <v>20</v>
      </c>
      <c r="C105" t="s">
        <v>21</v>
      </c>
      <c r="D105" t="s">
        <v>410</v>
      </c>
      <c r="E105" t="s">
        <v>30</v>
      </c>
      <c r="F105">
        <v>1</v>
      </c>
      <c r="H105" t="s">
        <v>411</v>
      </c>
      <c r="I105" t="s">
        <v>81</v>
      </c>
      <c r="J105" t="s">
        <v>38</v>
      </c>
      <c r="K105" t="s">
        <v>27</v>
      </c>
      <c r="L105" t="s">
        <v>412</v>
      </c>
      <c r="M105">
        <v>698689</v>
      </c>
      <c r="N105">
        <v>21</v>
      </c>
      <c r="O105" s="7">
        <f t="shared" si="1"/>
        <v>3.0056291139548496E-5</v>
      </c>
      <c r="P105" s="5">
        <v>45703</v>
      </c>
      <c r="Q105" s="9"/>
    </row>
    <row r="106" spans="1:17">
      <c r="A106" t="s">
        <v>19</v>
      </c>
      <c r="B106" t="s">
        <v>20</v>
      </c>
      <c r="C106" t="s">
        <v>21</v>
      </c>
      <c r="D106" t="s">
        <v>413</v>
      </c>
      <c r="E106" t="s">
        <v>23</v>
      </c>
      <c r="F106">
        <v>1</v>
      </c>
      <c r="H106" s="4" t="s">
        <v>414</v>
      </c>
      <c r="I106" s="4" t="s">
        <v>285</v>
      </c>
      <c r="J106" s="4" t="s">
        <v>139</v>
      </c>
      <c r="K106" s="4" t="s">
        <v>27</v>
      </c>
      <c r="L106" s="4" t="s">
        <v>415</v>
      </c>
      <c r="M106">
        <v>698689</v>
      </c>
      <c r="N106">
        <v>30</v>
      </c>
      <c r="O106" s="7">
        <f t="shared" si="1"/>
        <v>4.2937558770783569E-5</v>
      </c>
      <c r="P106" s="5">
        <v>45703</v>
      </c>
      <c r="Q106" s="9"/>
    </row>
    <row r="107" spans="1:17">
      <c r="A107" t="s">
        <v>19</v>
      </c>
      <c r="B107" t="s">
        <v>20</v>
      </c>
      <c r="C107" t="s">
        <v>21</v>
      </c>
      <c r="D107" t="s">
        <v>416</v>
      </c>
      <c r="E107" t="s">
        <v>288</v>
      </c>
      <c r="F107">
        <v>1</v>
      </c>
      <c r="H107" t="s">
        <v>417</v>
      </c>
      <c r="I107" t="s">
        <v>290</v>
      </c>
      <c r="J107" t="s">
        <v>291</v>
      </c>
      <c r="K107" t="s">
        <v>27</v>
      </c>
      <c r="L107" t="s">
        <v>418</v>
      </c>
      <c r="M107">
        <v>698689</v>
      </c>
      <c r="N107">
        <v>30</v>
      </c>
      <c r="O107" s="7">
        <f t="shared" si="1"/>
        <v>4.2937558770783569E-5</v>
      </c>
      <c r="P107" s="5">
        <v>45703</v>
      </c>
      <c r="Q107" s="9"/>
    </row>
    <row r="108" spans="1:17">
      <c r="A108" t="s">
        <v>19</v>
      </c>
      <c r="B108" t="s">
        <v>20</v>
      </c>
      <c r="C108" t="s">
        <v>21</v>
      </c>
      <c r="D108" t="s">
        <v>419</v>
      </c>
      <c r="E108" t="s">
        <v>30</v>
      </c>
      <c r="F108">
        <v>1</v>
      </c>
      <c r="H108" t="s">
        <v>420</v>
      </c>
      <c r="I108" s="6" t="s">
        <v>421</v>
      </c>
      <c r="J108" t="s">
        <v>33</v>
      </c>
      <c r="K108" t="s">
        <v>27</v>
      </c>
      <c r="L108" t="s">
        <v>422</v>
      </c>
      <c r="M108">
        <v>698689</v>
      </c>
      <c r="N108">
        <v>45</v>
      </c>
      <c r="O108" s="7">
        <f t="shared" si="1"/>
        <v>6.440633815617535E-5</v>
      </c>
      <c r="P108" s="5">
        <v>45713</v>
      </c>
      <c r="Q108" s="9"/>
    </row>
    <row r="109" spans="1:17">
      <c r="A109" t="s">
        <v>19</v>
      </c>
      <c r="B109" t="s">
        <v>20</v>
      </c>
      <c r="C109" t="s">
        <v>21</v>
      </c>
      <c r="D109" t="s">
        <v>423</v>
      </c>
      <c r="E109" t="s">
        <v>30</v>
      </c>
      <c r="F109">
        <v>1</v>
      </c>
      <c r="H109" t="s">
        <v>424</v>
      </c>
      <c r="I109" t="s">
        <v>81</v>
      </c>
      <c r="J109" t="s">
        <v>38</v>
      </c>
      <c r="K109" t="s">
        <v>27</v>
      </c>
      <c r="L109" t="s">
        <v>425</v>
      </c>
      <c r="M109">
        <v>698689</v>
      </c>
      <c r="N109">
        <v>43</v>
      </c>
      <c r="O109" s="7">
        <f t="shared" si="1"/>
        <v>6.1543834238123111E-5</v>
      </c>
      <c r="P109" s="5">
        <v>45713</v>
      </c>
      <c r="Q109" s="9"/>
    </row>
    <row r="110" spans="1:17">
      <c r="A110" t="s">
        <v>19</v>
      </c>
      <c r="B110" t="s">
        <v>20</v>
      </c>
      <c r="C110" t="s">
        <v>21</v>
      </c>
      <c r="D110" t="s">
        <v>426</v>
      </c>
      <c r="E110" t="s">
        <v>23</v>
      </c>
      <c r="F110">
        <v>1</v>
      </c>
      <c r="H110" s="4" t="s">
        <v>427</v>
      </c>
      <c r="I110" s="4" t="s">
        <v>285</v>
      </c>
      <c r="J110" s="4" t="s">
        <v>139</v>
      </c>
      <c r="K110" s="4" t="s">
        <v>27</v>
      </c>
      <c r="L110" s="4" t="s">
        <v>428</v>
      </c>
      <c r="M110">
        <v>698689</v>
      </c>
      <c r="N110">
        <v>45</v>
      </c>
      <c r="O110" s="7">
        <f t="shared" si="1"/>
        <v>6.440633815617535E-5</v>
      </c>
      <c r="P110" s="5">
        <v>45713</v>
      </c>
      <c r="Q110" s="9"/>
    </row>
    <row r="111" spans="1:17">
      <c r="A111" t="s">
        <v>19</v>
      </c>
      <c r="B111" t="s">
        <v>20</v>
      </c>
      <c r="C111" t="s">
        <v>21</v>
      </c>
      <c r="D111" t="s">
        <v>429</v>
      </c>
      <c r="E111" t="s">
        <v>288</v>
      </c>
      <c r="F111">
        <v>1</v>
      </c>
      <c r="H111" t="s">
        <v>430</v>
      </c>
      <c r="I111" t="s">
        <v>290</v>
      </c>
      <c r="J111" t="s">
        <v>291</v>
      </c>
      <c r="K111" t="s">
        <v>27</v>
      </c>
      <c r="L111" t="s">
        <v>431</v>
      </c>
      <c r="M111">
        <v>698689</v>
      </c>
      <c r="N111">
        <v>10</v>
      </c>
      <c r="O111" s="7">
        <f t="shared" si="1"/>
        <v>1.4312519590261188E-5</v>
      </c>
      <c r="P111" s="5">
        <v>45712</v>
      </c>
      <c r="Q111" s="9"/>
    </row>
    <row r="112" spans="1:17">
      <c r="A112" t="s">
        <v>19</v>
      </c>
      <c r="B112" t="s">
        <v>20</v>
      </c>
      <c r="C112" t="s">
        <v>21</v>
      </c>
      <c r="D112" t="s">
        <v>432</v>
      </c>
      <c r="E112" t="s">
        <v>30</v>
      </c>
      <c r="F112">
        <v>1</v>
      </c>
      <c r="H112" t="s">
        <v>433</v>
      </c>
      <c r="I112" s="6" t="s">
        <v>434</v>
      </c>
      <c r="J112" t="s">
        <v>33</v>
      </c>
      <c r="K112" t="s">
        <v>27</v>
      </c>
      <c r="L112" t="s">
        <v>435</v>
      </c>
      <c r="M112">
        <v>698689</v>
      </c>
      <c r="N112">
        <v>29</v>
      </c>
      <c r="O112" s="7">
        <f t="shared" si="1"/>
        <v>4.1506306811757449E-5</v>
      </c>
      <c r="P112" s="5">
        <v>45724</v>
      </c>
      <c r="Q112" s="9"/>
    </row>
    <row r="113" spans="1:17">
      <c r="A113" t="s">
        <v>19</v>
      </c>
      <c r="B113" t="s">
        <v>20</v>
      </c>
      <c r="C113" t="s">
        <v>21</v>
      </c>
      <c r="D113" t="s">
        <v>436</v>
      </c>
      <c r="E113" t="s">
        <v>30</v>
      </c>
      <c r="F113">
        <v>1</v>
      </c>
      <c r="H113" t="s">
        <v>437</v>
      </c>
      <c r="I113" t="s">
        <v>81</v>
      </c>
      <c r="J113" t="s">
        <v>38</v>
      </c>
      <c r="K113" t="s">
        <v>27</v>
      </c>
      <c r="L113" t="s">
        <v>438</v>
      </c>
      <c r="M113">
        <v>698689</v>
      </c>
      <c r="N113">
        <v>24</v>
      </c>
      <c r="O113" s="7">
        <f t="shared" si="1"/>
        <v>3.4350047016626854E-5</v>
      </c>
      <c r="P113" s="5">
        <v>45710</v>
      </c>
      <c r="Q113" s="9"/>
    </row>
    <row r="114" spans="1:17">
      <c r="A114" t="s">
        <v>19</v>
      </c>
      <c r="B114" t="s">
        <v>20</v>
      </c>
      <c r="C114" t="s">
        <v>21</v>
      </c>
      <c r="D114" t="s">
        <v>439</v>
      </c>
      <c r="E114" t="s">
        <v>23</v>
      </c>
      <c r="F114">
        <v>1</v>
      </c>
      <c r="H114" s="4" t="s">
        <v>440</v>
      </c>
      <c r="I114" s="4" t="s">
        <v>285</v>
      </c>
      <c r="J114" s="4" t="s">
        <v>139</v>
      </c>
      <c r="K114" s="4" t="s">
        <v>27</v>
      </c>
      <c r="L114" s="4" t="s">
        <v>441</v>
      </c>
      <c r="M114">
        <v>698689</v>
      </c>
      <c r="N114">
        <v>29</v>
      </c>
      <c r="O114" s="7">
        <f t="shared" si="1"/>
        <v>4.1506306811757449E-5</v>
      </c>
      <c r="P114" s="5">
        <v>45724</v>
      </c>
      <c r="Q114" s="9"/>
    </row>
    <row r="115" spans="1:17">
      <c r="A115" t="s">
        <v>19</v>
      </c>
      <c r="B115" t="s">
        <v>20</v>
      </c>
      <c r="C115" t="s">
        <v>21</v>
      </c>
      <c r="D115" t="s">
        <v>442</v>
      </c>
      <c r="E115" t="s">
        <v>288</v>
      </c>
      <c r="F115">
        <v>1</v>
      </c>
      <c r="H115" t="s">
        <v>443</v>
      </c>
      <c r="I115" t="s">
        <v>290</v>
      </c>
      <c r="J115" t="s">
        <v>291</v>
      </c>
      <c r="K115" t="s">
        <v>27</v>
      </c>
      <c r="L115" t="s">
        <v>444</v>
      </c>
      <c r="M115">
        <v>698689</v>
      </c>
      <c r="N115">
        <v>29</v>
      </c>
      <c r="O115" s="7">
        <f t="shared" si="1"/>
        <v>4.1506306811757449E-5</v>
      </c>
      <c r="P115" s="5">
        <v>45724</v>
      </c>
      <c r="Q115" s="9"/>
    </row>
    <row r="116" spans="1:17" ht="14.45">
      <c r="A116" t="s">
        <v>19</v>
      </c>
      <c r="B116" t="s">
        <v>20</v>
      </c>
      <c r="C116" t="s">
        <v>21</v>
      </c>
      <c r="D116" t="s">
        <v>445</v>
      </c>
      <c r="E116" t="s">
        <v>30</v>
      </c>
      <c r="F116">
        <v>1</v>
      </c>
      <c r="H116" t="s">
        <v>446</v>
      </c>
      <c r="I116" s="6" t="s">
        <v>447</v>
      </c>
      <c r="J116" t="s">
        <v>33</v>
      </c>
      <c r="K116" t="s">
        <v>27</v>
      </c>
      <c r="L116" t="s">
        <v>448</v>
      </c>
      <c r="M116">
        <v>698689</v>
      </c>
      <c r="N116">
        <v>33954</v>
      </c>
      <c r="O116" s="7">
        <f t="shared" si="1"/>
        <v>4.8596729016772838E-2</v>
      </c>
      <c r="P116" s="5">
        <v>46125</v>
      </c>
      <c r="Q116" s="5"/>
    </row>
    <row r="117" spans="1:17" ht="14.45">
      <c r="A117" t="s">
        <v>19</v>
      </c>
      <c r="B117" t="s">
        <v>20</v>
      </c>
      <c r="C117" t="s">
        <v>21</v>
      </c>
      <c r="D117" t="s">
        <v>449</v>
      </c>
      <c r="E117" t="s">
        <v>23</v>
      </c>
      <c r="F117">
        <v>1</v>
      </c>
      <c r="H117" s="4" t="s">
        <v>450</v>
      </c>
      <c r="I117" s="4" t="s">
        <v>285</v>
      </c>
      <c r="J117" s="4" t="s">
        <v>139</v>
      </c>
      <c r="K117" s="4" t="s">
        <v>27</v>
      </c>
      <c r="L117" s="4" t="s">
        <v>451</v>
      </c>
      <c r="M117">
        <v>698689</v>
      </c>
      <c r="N117">
        <v>34655</v>
      </c>
      <c r="O117" s="7">
        <f t="shared" si="1"/>
        <v>4.9600036640050152E-2</v>
      </c>
      <c r="P117" s="5">
        <v>46125</v>
      </c>
      <c r="Q117" s="5"/>
    </row>
    <row r="118" spans="1:17" ht="14.45">
      <c r="A118" t="s">
        <v>19</v>
      </c>
      <c r="B118" t="s">
        <v>20</v>
      </c>
      <c r="C118" t="s">
        <v>21</v>
      </c>
      <c r="D118" t="s">
        <v>452</v>
      </c>
      <c r="E118" t="s">
        <v>288</v>
      </c>
      <c r="F118">
        <v>1</v>
      </c>
      <c r="H118" t="s">
        <v>453</v>
      </c>
      <c r="I118" t="s">
        <v>290</v>
      </c>
      <c r="J118" t="s">
        <v>291</v>
      </c>
      <c r="K118" t="s">
        <v>27</v>
      </c>
      <c r="L118" t="s">
        <v>454</v>
      </c>
      <c r="M118">
        <v>698689</v>
      </c>
      <c r="N118">
        <v>34655</v>
      </c>
      <c r="O118" s="7">
        <f t="shared" si="1"/>
        <v>4.9600036640050152E-2</v>
      </c>
      <c r="P118" s="5">
        <v>46125</v>
      </c>
      <c r="Q118" s="5"/>
    </row>
    <row r="119" spans="1:17" ht="14.45">
      <c r="A119" t="s">
        <v>19</v>
      </c>
      <c r="B119" t="s">
        <v>20</v>
      </c>
      <c r="C119" t="s">
        <v>21</v>
      </c>
      <c r="D119" t="s">
        <v>455</v>
      </c>
      <c r="E119" t="s">
        <v>30</v>
      </c>
      <c r="F119">
        <v>1</v>
      </c>
      <c r="H119" t="s">
        <v>456</v>
      </c>
      <c r="I119" t="s">
        <v>457</v>
      </c>
      <c r="J119" t="s">
        <v>33</v>
      </c>
      <c r="K119" t="s">
        <v>27</v>
      </c>
      <c r="L119" t="s">
        <v>458</v>
      </c>
      <c r="M119">
        <v>698689</v>
      </c>
      <c r="N119">
        <v>363830</v>
      </c>
      <c r="O119" s="7">
        <f t="shared" si="1"/>
        <v>0.5207324002524728</v>
      </c>
      <c r="P119" s="5">
        <v>46129</v>
      </c>
      <c r="Q119" s="5"/>
    </row>
    <row r="120" spans="1:17" ht="14.45">
      <c r="A120" t="s">
        <v>19</v>
      </c>
      <c r="B120" t="s">
        <v>20</v>
      </c>
      <c r="C120" t="s">
        <v>21</v>
      </c>
      <c r="D120" t="s">
        <v>459</v>
      </c>
      <c r="E120" t="s">
        <v>30</v>
      </c>
      <c r="F120">
        <v>1</v>
      </c>
      <c r="H120" t="s">
        <v>460</v>
      </c>
      <c r="I120" s="6" t="s">
        <v>461</v>
      </c>
      <c r="J120" t="s">
        <v>221</v>
      </c>
      <c r="K120" t="s">
        <v>27</v>
      </c>
      <c r="L120" t="s">
        <v>462</v>
      </c>
      <c r="M120">
        <v>698689</v>
      </c>
      <c r="N120">
        <v>368901</v>
      </c>
      <c r="O120" s="7">
        <f t="shared" si="1"/>
        <v>0.52799027893669426</v>
      </c>
      <c r="P120" s="5">
        <v>46129</v>
      </c>
      <c r="Q120" s="5"/>
    </row>
    <row r="121" spans="1:17">
      <c r="A121" t="s">
        <v>19</v>
      </c>
      <c r="B121" t="s">
        <v>20</v>
      </c>
      <c r="C121" t="s">
        <v>21</v>
      </c>
      <c r="D121" t="s">
        <v>463</v>
      </c>
      <c r="E121" t="s">
        <v>23</v>
      </c>
      <c r="F121">
        <v>1</v>
      </c>
      <c r="H121" s="4" t="s">
        <v>464</v>
      </c>
      <c r="I121" s="4" t="s">
        <v>285</v>
      </c>
      <c r="J121" s="4" t="s">
        <v>139</v>
      </c>
      <c r="K121" s="4" t="s">
        <v>27</v>
      </c>
      <c r="L121" s="4" t="s">
        <v>465</v>
      </c>
      <c r="M121">
        <v>698689</v>
      </c>
      <c r="N121">
        <v>3</v>
      </c>
      <c r="O121" s="7">
        <f t="shared" si="1"/>
        <v>4.2937558770783567E-6</v>
      </c>
      <c r="P121" s="5">
        <v>45380</v>
      </c>
      <c r="Q121" s="9" t="s">
        <v>466</v>
      </c>
    </row>
    <row r="122" spans="1:17">
      <c r="A122" t="s">
        <v>19</v>
      </c>
      <c r="B122" t="s">
        <v>20</v>
      </c>
      <c r="C122" t="s">
        <v>21</v>
      </c>
      <c r="D122" t="s">
        <v>467</v>
      </c>
      <c r="E122" t="s">
        <v>288</v>
      </c>
      <c r="F122">
        <v>1</v>
      </c>
      <c r="H122" t="s">
        <v>468</v>
      </c>
      <c r="I122" t="s">
        <v>290</v>
      </c>
      <c r="J122" t="s">
        <v>291</v>
      </c>
      <c r="K122" t="s">
        <v>27</v>
      </c>
      <c r="L122" t="s">
        <v>469</v>
      </c>
      <c r="M122">
        <v>698689</v>
      </c>
      <c r="N122">
        <v>3</v>
      </c>
      <c r="O122" s="7">
        <f t="shared" si="1"/>
        <v>4.2937558770783567E-6</v>
      </c>
      <c r="P122" s="5">
        <v>45380</v>
      </c>
      <c r="Q122" s="9"/>
    </row>
    <row r="123" spans="1:17" ht="14.45">
      <c r="A123" t="s">
        <v>19</v>
      </c>
      <c r="B123" t="s">
        <v>20</v>
      </c>
      <c r="C123" t="s">
        <v>21</v>
      </c>
      <c r="D123" t="s">
        <v>470</v>
      </c>
      <c r="E123" t="s">
        <v>23</v>
      </c>
      <c r="F123">
        <v>1</v>
      </c>
      <c r="H123" s="4" t="s">
        <v>471</v>
      </c>
      <c r="I123" s="4" t="s">
        <v>472</v>
      </c>
      <c r="J123" s="4" t="s">
        <v>134</v>
      </c>
      <c r="K123" s="4" t="s">
        <v>27</v>
      </c>
      <c r="L123" s="4" t="s">
        <v>473</v>
      </c>
      <c r="M123">
        <v>698689</v>
      </c>
      <c r="N123">
        <v>698689</v>
      </c>
      <c r="O123" s="7">
        <f t="shared" si="1"/>
        <v>1</v>
      </c>
      <c r="P123" s="5">
        <v>46129</v>
      </c>
      <c r="Q123" s="5"/>
    </row>
    <row r="124" spans="1:17" ht="14.45">
      <c r="A124" t="s">
        <v>19</v>
      </c>
      <c r="B124" t="s">
        <v>20</v>
      </c>
      <c r="C124" t="s">
        <v>21</v>
      </c>
      <c r="D124" t="s">
        <v>474</v>
      </c>
      <c r="E124" t="s">
        <v>30</v>
      </c>
      <c r="F124">
        <v>1</v>
      </c>
      <c r="H124" t="s">
        <v>475</v>
      </c>
      <c r="I124" s="6" t="s">
        <v>476</v>
      </c>
      <c r="J124" t="s">
        <v>33</v>
      </c>
      <c r="K124" t="s">
        <v>27</v>
      </c>
      <c r="L124" t="s">
        <v>477</v>
      </c>
      <c r="M124">
        <v>698689</v>
      </c>
      <c r="N124">
        <v>698686</v>
      </c>
      <c r="O124" s="7">
        <f t="shared" si="1"/>
        <v>0.99999570624412293</v>
      </c>
      <c r="P124" s="5">
        <v>46129</v>
      </c>
      <c r="Q124" s="5"/>
    </row>
    <row r="125" spans="1:17" ht="14.45">
      <c r="A125" t="s">
        <v>19</v>
      </c>
      <c r="B125" t="s">
        <v>20</v>
      </c>
      <c r="C125" t="s">
        <v>21</v>
      </c>
      <c r="D125" t="s">
        <v>478</v>
      </c>
      <c r="E125" t="s">
        <v>30</v>
      </c>
      <c r="F125">
        <v>1</v>
      </c>
      <c r="H125" t="s">
        <v>479</v>
      </c>
      <c r="I125" s="6" t="s">
        <v>480</v>
      </c>
      <c r="J125" t="s">
        <v>33</v>
      </c>
      <c r="K125" s="4" t="s">
        <v>27</v>
      </c>
      <c r="L125" s="4" t="s">
        <v>481</v>
      </c>
      <c r="M125">
        <v>698689</v>
      </c>
      <c r="N125">
        <v>305077</v>
      </c>
      <c r="O125" s="7">
        <f t="shared" si="1"/>
        <v>0.43664205390381128</v>
      </c>
      <c r="P125" s="5">
        <v>46129</v>
      </c>
      <c r="Q125" s="5"/>
    </row>
    <row r="126" spans="1:17" ht="14.45">
      <c r="A126" t="s">
        <v>19</v>
      </c>
      <c r="B126" t="s">
        <v>20</v>
      </c>
      <c r="C126" t="s">
        <v>21</v>
      </c>
      <c r="D126" t="s">
        <v>482</v>
      </c>
      <c r="E126" t="s">
        <v>30</v>
      </c>
      <c r="F126">
        <v>1</v>
      </c>
      <c r="H126" t="s">
        <v>483</v>
      </c>
      <c r="I126" s="6" t="s">
        <v>484</v>
      </c>
      <c r="J126" t="s">
        <v>33</v>
      </c>
      <c r="K126" t="s">
        <v>27</v>
      </c>
      <c r="L126" t="s">
        <v>485</v>
      </c>
      <c r="M126">
        <v>698689</v>
      </c>
      <c r="N126">
        <v>566033</v>
      </c>
      <c r="O126" s="7">
        <f t="shared" si="1"/>
        <v>0.81013584012343121</v>
      </c>
      <c r="P126" s="5">
        <v>46129</v>
      </c>
      <c r="Q126" s="5"/>
    </row>
    <row r="127" spans="1:17" ht="14.45">
      <c r="A127" t="s">
        <v>19</v>
      </c>
      <c r="B127" t="s">
        <v>20</v>
      </c>
      <c r="C127" t="s">
        <v>21</v>
      </c>
      <c r="D127" t="s">
        <v>486</v>
      </c>
      <c r="E127" t="s">
        <v>23</v>
      </c>
      <c r="F127">
        <v>1</v>
      </c>
      <c r="G127" t="s">
        <v>487</v>
      </c>
      <c r="H127" s="4" t="s">
        <v>488</v>
      </c>
      <c r="I127" s="4" t="s">
        <v>489</v>
      </c>
      <c r="J127" s="4" t="s">
        <v>490</v>
      </c>
      <c r="K127" s="4" t="s">
        <v>27</v>
      </c>
      <c r="L127" s="4" t="s">
        <v>491</v>
      </c>
      <c r="M127">
        <v>698689</v>
      </c>
      <c r="N127">
        <v>697555</v>
      </c>
      <c r="O127" s="7">
        <f t="shared" si="1"/>
        <v>0.99837696027846434</v>
      </c>
      <c r="P127" s="5">
        <v>46129</v>
      </c>
      <c r="Q127" s="5"/>
    </row>
    <row r="128" spans="1:17" ht="29.25">
      <c r="A128" t="s">
        <v>19</v>
      </c>
      <c r="B128" t="s">
        <v>20</v>
      </c>
      <c r="C128" t="s">
        <v>21</v>
      </c>
      <c r="D128" t="s">
        <v>492</v>
      </c>
      <c r="E128" t="s">
        <v>23</v>
      </c>
      <c r="F128">
        <v>1</v>
      </c>
      <c r="H128" s="4" t="s">
        <v>493</v>
      </c>
      <c r="I128" s="4" t="s">
        <v>133</v>
      </c>
      <c r="J128" s="4" t="s">
        <v>134</v>
      </c>
      <c r="K128" s="4" t="s">
        <v>27</v>
      </c>
      <c r="L128" s="4" t="s">
        <v>494</v>
      </c>
      <c r="M128">
        <v>698689</v>
      </c>
      <c r="N128">
        <v>51931</v>
      </c>
      <c r="O128" s="7">
        <f t="shared" si="1"/>
        <v>7.4326345484185388E-2</v>
      </c>
      <c r="P128" s="5">
        <v>45237</v>
      </c>
      <c r="Q128" s="8" t="s">
        <v>495</v>
      </c>
    </row>
    <row r="129" spans="1:17" ht="14.45">
      <c r="A129" t="s">
        <v>19</v>
      </c>
      <c r="B129" t="s">
        <v>20</v>
      </c>
      <c r="C129" t="s">
        <v>21</v>
      </c>
      <c r="D129" t="s">
        <v>496</v>
      </c>
      <c r="E129" t="s">
        <v>30</v>
      </c>
      <c r="F129">
        <v>1</v>
      </c>
      <c r="H129" t="s">
        <v>497</v>
      </c>
      <c r="I129" s="6" t="s">
        <v>498</v>
      </c>
      <c r="J129" t="s">
        <v>33</v>
      </c>
      <c r="K129" s="4" t="s">
        <v>27</v>
      </c>
      <c r="L129" s="4" t="s">
        <v>499</v>
      </c>
      <c r="M129">
        <v>698689</v>
      </c>
      <c r="N129">
        <v>10941</v>
      </c>
      <c r="O129" s="7">
        <f t="shared" si="1"/>
        <v>1.5659327683704767E-2</v>
      </c>
      <c r="P129" s="5">
        <v>46120</v>
      </c>
      <c r="Q129" s="5"/>
    </row>
    <row r="130" spans="1:17" ht="14.45">
      <c r="A130" t="s">
        <v>19</v>
      </c>
      <c r="B130" t="s">
        <v>20</v>
      </c>
      <c r="C130" t="s">
        <v>21</v>
      </c>
      <c r="D130" t="s">
        <v>500</v>
      </c>
      <c r="E130" t="s">
        <v>30</v>
      </c>
      <c r="F130">
        <v>1</v>
      </c>
      <c r="H130" t="s">
        <v>501</v>
      </c>
      <c r="I130" s="6" t="s">
        <v>502</v>
      </c>
      <c r="J130" t="s">
        <v>33</v>
      </c>
      <c r="K130" s="4" t="s">
        <v>27</v>
      </c>
      <c r="L130" s="4" t="s">
        <v>503</v>
      </c>
      <c r="M130">
        <v>698689</v>
      </c>
      <c r="N130">
        <v>2672</v>
      </c>
      <c r="O130" s="7">
        <f t="shared" si="1"/>
        <v>3.8243052345177898E-3</v>
      </c>
      <c r="P130" s="5">
        <v>46031</v>
      </c>
      <c r="Q130" s="5"/>
    </row>
    <row r="131" spans="1:17" ht="14.45">
      <c r="A131" t="s">
        <v>19</v>
      </c>
      <c r="B131" t="s">
        <v>20</v>
      </c>
      <c r="C131" t="s">
        <v>21</v>
      </c>
      <c r="D131" t="s">
        <v>504</v>
      </c>
      <c r="E131" t="s">
        <v>23</v>
      </c>
      <c r="F131">
        <v>1</v>
      </c>
      <c r="H131" s="4" t="s">
        <v>505</v>
      </c>
      <c r="I131" s="4" t="s">
        <v>506</v>
      </c>
      <c r="J131" s="4" t="s">
        <v>134</v>
      </c>
      <c r="K131" s="4" t="s">
        <v>27</v>
      </c>
      <c r="L131" s="4" t="s">
        <v>507</v>
      </c>
      <c r="M131">
        <v>698689</v>
      </c>
      <c r="N131">
        <v>698689</v>
      </c>
      <c r="O131" s="7">
        <f t="shared" ref="O131:O143" si="2">IFERROR(N131/M131,0)</f>
        <v>1</v>
      </c>
      <c r="P131" s="5">
        <v>46129</v>
      </c>
      <c r="Q131" s="5"/>
    </row>
    <row r="132" spans="1:17" ht="14.45">
      <c r="A132" t="s">
        <v>19</v>
      </c>
      <c r="B132" t="s">
        <v>20</v>
      </c>
      <c r="C132" t="s">
        <v>21</v>
      </c>
      <c r="D132" t="s">
        <v>508</v>
      </c>
      <c r="E132" t="s">
        <v>23</v>
      </c>
      <c r="F132">
        <v>1</v>
      </c>
      <c r="H132" s="4" t="s">
        <v>509</v>
      </c>
      <c r="I132" s="4" t="s">
        <v>506</v>
      </c>
      <c r="J132" s="4" t="s">
        <v>134</v>
      </c>
      <c r="K132" s="4" t="s">
        <v>27</v>
      </c>
      <c r="L132" s="4" t="s">
        <v>510</v>
      </c>
      <c r="M132">
        <v>698689</v>
      </c>
      <c r="N132">
        <v>183087</v>
      </c>
      <c r="O132" s="7">
        <f t="shared" si="2"/>
        <v>0.26204362742221504</v>
      </c>
      <c r="P132" s="5">
        <v>46129</v>
      </c>
      <c r="Q132" s="5"/>
    </row>
    <row r="133" spans="1:17" ht="14.45">
      <c r="A133" t="s">
        <v>19</v>
      </c>
      <c r="B133" t="s">
        <v>20</v>
      </c>
      <c r="C133" t="s">
        <v>21</v>
      </c>
      <c r="D133" t="s">
        <v>511</v>
      </c>
      <c r="E133" t="s">
        <v>23</v>
      </c>
      <c r="F133">
        <v>1</v>
      </c>
      <c r="H133" s="4" t="s">
        <v>512</v>
      </c>
      <c r="I133" s="4" t="s">
        <v>133</v>
      </c>
      <c r="J133" s="4" t="s">
        <v>134</v>
      </c>
      <c r="K133" s="4" t="s">
        <v>27</v>
      </c>
      <c r="L133" s="4" t="s">
        <v>513</v>
      </c>
      <c r="M133">
        <v>698689</v>
      </c>
      <c r="N133">
        <v>678088</v>
      </c>
      <c r="O133" s="7">
        <f t="shared" si="2"/>
        <v>0.97051477839210287</v>
      </c>
      <c r="P133" s="5">
        <v>46129</v>
      </c>
      <c r="Q133" s="5"/>
    </row>
    <row r="134" spans="1:17" ht="14.45">
      <c r="A134" t="s">
        <v>19</v>
      </c>
      <c r="B134" t="s">
        <v>20</v>
      </c>
      <c r="C134" t="s">
        <v>21</v>
      </c>
      <c r="D134" t="s">
        <v>514</v>
      </c>
      <c r="E134" t="s">
        <v>23</v>
      </c>
      <c r="F134">
        <v>1</v>
      </c>
      <c r="H134" s="4" t="s">
        <v>515</v>
      </c>
      <c r="I134" s="4" t="s">
        <v>133</v>
      </c>
      <c r="J134" s="4" t="s">
        <v>134</v>
      </c>
      <c r="K134" s="4" t="s">
        <v>27</v>
      </c>
      <c r="L134" s="4" t="s">
        <v>516</v>
      </c>
      <c r="M134">
        <v>698689</v>
      </c>
      <c r="N134">
        <v>678088</v>
      </c>
      <c r="O134" s="7">
        <f t="shared" si="2"/>
        <v>0.97051477839210287</v>
      </c>
      <c r="P134" s="5">
        <v>46129</v>
      </c>
      <c r="Q134" s="5"/>
    </row>
    <row r="135" spans="1:17" ht="14.45">
      <c r="A135" t="s">
        <v>19</v>
      </c>
      <c r="B135" t="s">
        <v>20</v>
      </c>
      <c r="C135" t="s">
        <v>21</v>
      </c>
      <c r="D135" t="s">
        <v>517</v>
      </c>
      <c r="E135" t="s">
        <v>23</v>
      </c>
      <c r="F135">
        <v>1</v>
      </c>
      <c r="H135" s="4" t="s">
        <v>518</v>
      </c>
      <c r="I135" s="4" t="s">
        <v>133</v>
      </c>
      <c r="J135" s="4" t="s">
        <v>134</v>
      </c>
      <c r="K135" s="4" t="s">
        <v>27</v>
      </c>
      <c r="L135" s="4" t="s">
        <v>519</v>
      </c>
      <c r="M135">
        <v>698689</v>
      </c>
      <c r="N135">
        <v>678088</v>
      </c>
      <c r="O135" s="7">
        <f t="shared" si="2"/>
        <v>0.97051477839210287</v>
      </c>
      <c r="P135" s="5">
        <v>46129</v>
      </c>
      <c r="Q135" s="5"/>
    </row>
    <row r="136" spans="1:17" ht="14.45">
      <c r="A136" t="s">
        <v>19</v>
      </c>
      <c r="B136" t="s">
        <v>20</v>
      </c>
      <c r="C136" t="s">
        <v>21</v>
      </c>
      <c r="D136" t="s">
        <v>520</v>
      </c>
      <c r="E136" t="s">
        <v>30</v>
      </c>
      <c r="F136">
        <v>1</v>
      </c>
      <c r="H136" t="s">
        <v>521</v>
      </c>
      <c r="I136" t="s">
        <v>522</v>
      </c>
      <c r="J136" t="s">
        <v>33</v>
      </c>
      <c r="K136" s="4" t="s">
        <v>27</v>
      </c>
      <c r="L136" s="4" t="s">
        <v>523</v>
      </c>
      <c r="M136">
        <v>698689</v>
      </c>
      <c r="N136">
        <v>31199</v>
      </c>
      <c r="O136" s="7">
        <f t="shared" si="2"/>
        <v>4.4653629869655882E-2</v>
      </c>
      <c r="P136" s="5">
        <v>46129</v>
      </c>
      <c r="Q136" s="5"/>
    </row>
    <row r="137" spans="1:17">
      <c r="A137" t="s">
        <v>19</v>
      </c>
      <c r="B137" t="s">
        <v>20</v>
      </c>
      <c r="C137" t="s">
        <v>21</v>
      </c>
      <c r="D137" t="s">
        <v>524</v>
      </c>
      <c r="E137" t="s">
        <v>30</v>
      </c>
      <c r="F137">
        <v>1</v>
      </c>
      <c r="H137" t="s">
        <v>525</v>
      </c>
      <c r="I137" t="s">
        <v>526</v>
      </c>
      <c r="J137" t="s">
        <v>33</v>
      </c>
      <c r="K137" s="4" t="s">
        <v>27</v>
      </c>
      <c r="L137" s="4" t="s">
        <v>527</v>
      </c>
      <c r="M137">
        <v>698689</v>
      </c>
      <c r="N137">
        <v>0</v>
      </c>
      <c r="O137" s="7">
        <f t="shared" si="2"/>
        <v>0</v>
      </c>
      <c r="P137" t="s">
        <v>103</v>
      </c>
      <c r="Q137" t="s">
        <v>104</v>
      </c>
    </row>
    <row r="138" spans="1:17" ht="14.45">
      <c r="A138" t="s">
        <v>19</v>
      </c>
      <c r="B138" t="s">
        <v>20</v>
      </c>
      <c r="C138" t="s">
        <v>21</v>
      </c>
      <c r="D138" t="s">
        <v>528</v>
      </c>
      <c r="E138" t="s">
        <v>23</v>
      </c>
      <c r="F138">
        <v>1</v>
      </c>
      <c r="H138" s="4" t="s">
        <v>529</v>
      </c>
      <c r="I138" s="4" t="s">
        <v>530</v>
      </c>
      <c r="J138" s="4" t="s">
        <v>134</v>
      </c>
      <c r="K138" s="4" t="s">
        <v>27</v>
      </c>
      <c r="L138" s="4" t="s">
        <v>531</v>
      </c>
      <c r="M138">
        <v>698689</v>
      </c>
      <c r="N138">
        <v>698400</v>
      </c>
      <c r="O138" s="7">
        <f t="shared" si="2"/>
        <v>0.9995863681838415</v>
      </c>
      <c r="P138" s="5">
        <v>46129</v>
      </c>
      <c r="Q138" s="5"/>
    </row>
    <row r="139" spans="1:17">
      <c r="A139" t="s">
        <v>19</v>
      </c>
      <c r="B139" t="s">
        <v>20</v>
      </c>
      <c r="C139" t="s">
        <v>21</v>
      </c>
      <c r="D139" t="s">
        <v>532</v>
      </c>
      <c r="E139" t="s">
        <v>30</v>
      </c>
      <c r="F139">
        <v>1</v>
      </c>
      <c r="I139" s="6" t="s">
        <v>533</v>
      </c>
      <c r="J139" t="s">
        <v>33</v>
      </c>
      <c r="K139" s="4" t="s">
        <v>27</v>
      </c>
      <c r="L139" t="s">
        <v>532</v>
      </c>
      <c r="M139">
        <v>698689</v>
      </c>
      <c r="N139">
        <v>77455</v>
      </c>
      <c r="O139" s="7">
        <f t="shared" si="2"/>
        <v>0.11085762048636805</v>
      </c>
      <c r="P139" s="5">
        <v>45544</v>
      </c>
      <c r="Q139" s="9" t="s">
        <v>534</v>
      </c>
    </row>
    <row r="140" spans="1:17">
      <c r="A140" t="s">
        <v>19</v>
      </c>
      <c r="B140" t="s">
        <v>20</v>
      </c>
      <c r="C140" t="s">
        <v>21</v>
      </c>
      <c r="D140" t="s">
        <v>535</v>
      </c>
      <c r="E140" t="s">
        <v>30</v>
      </c>
      <c r="F140">
        <v>1</v>
      </c>
      <c r="I140" t="s">
        <v>536</v>
      </c>
      <c r="J140" t="s">
        <v>33</v>
      </c>
      <c r="K140" s="4" t="s">
        <v>27</v>
      </c>
      <c r="L140" t="s">
        <v>535</v>
      </c>
      <c r="M140">
        <v>698689</v>
      </c>
      <c r="N140">
        <v>634</v>
      </c>
      <c r="O140" s="7">
        <f t="shared" si="2"/>
        <v>9.0741374202255943E-4</v>
      </c>
      <c r="P140" s="5">
        <v>45938</v>
      </c>
      <c r="Q140" s="9"/>
    </row>
    <row r="141" spans="1:17" ht="14.45">
      <c r="A141" t="s">
        <v>19</v>
      </c>
      <c r="B141" t="s">
        <v>20</v>
      </c>
      <c r="C141" t="s">
        <v>21</v>
      </c>
      <c r="D141" t="s">
        <v>537</v>
      </c>
      <c r="E141" t="s">
        <v>30</v>
      </c>
      <c r="F141">
        <v>1</v>
      </c>
      <c r="I141" s="6" t="s">
        <v>538</v>
      </c>
      <c r="J141" t="s">
        <v>33</v>
      </c>
      <c r="K141" s="4" t="s">
        <v>27</v>
      </c>
      <c r="L141" t="s">
        <v>537</v>
      </c>
      <c r="M141">
        <v>698689</v>
      </c>
      <c r="N141">
        <v>475611</v>
      </c>
      <c r="O141" s="7">
        <f t="shared" si="2"/>
        <v>0.68071917548437144</v>
      </c>
      <c r="P141" s="5">
        <v>46129</v>
      </c>
      <c r="Q141" s="5"/>
    </row>
    <row r="142" spans="1:17" ht="14.45">
      <c r="A142" t="s">
        <v>19</v>
      </c>
      <c r="B142" t="s">
        <v>20</v>
      </c>
      <c r="C142" t="s">
        <v>21</v>
      </c>
      <c r="D142" t="s">
        <v>539</v>
      </c>
      <c r="E142" t="s">
        <v>30</v>
      </c>
      <c r="F142">
        <v>1</v>
      </c>
      <c r="I142" s="6" t="s">
        <v>540</v>
      </c>
      <c r="J142" t="s">
        <v>33</v>
      </c>
      <c r="K142" s="4" t="s">
        <v>27</v>
      </c>
      <c r="L142" t="s">
        <v>539</v>
      </c>
      <c r="M142">
        <v>698689</v>
      </c>
      <c r="N142">
        <v>475611</v>
      </c>
      <c r="O142" s="7">
        <f t="shared" si="2"/>
        <v>0.68071917548437144</v>
      </c>
      <c r="P142" s="5">
        <v>46129</v>
      </c>
      <c r="Q142" s="5"/>
    </row>
    <row r="143" spans="1:17" ht="14.45">
      <c r="A143" t="s">
        <v>19</v>
      </c>
      <c r="B143" t="s">
        <v>20</v>
      </c>
      <c r="C143" t="s">
        <v>21</v>
      </c>
      <c r="D143" t="s">
        <v>541</v>
      </c>
      <c r="E143" t="s">
        <v>30</v>
      </c>
      <c r="F143">
        <v>1</v>
      </c>
      <c r="I143" s="6" t="s">
        <v>542</v>
      </c>
      <c r="J143" t="s">
        <v>33</v>
      </c>
      <c r="K143" s="4" t="s">
        <v>27</v>
      </c>
      <c r="L143" t="s">
        <v>541</v>
      </c>
      <c r="M143">
        <v>698689</v>
      </c>
      <c r="N143">
        <v>185742</v>
      </c>
      <c r="O143" s="7">
        <f t="shared" si="2"/>
        <v>0.26584360137342938</v>
      </c>
      <c r="P143" s="5">
        <v>46129</v>
      </c>
      <c r="Q143" s="5"/>
    </row>
  </sheetData>
  <autoFilter ref="A1:S143" xr:uid="{00000000-0001-0000-0000-000000000000}"/>
  <mergeCells count="7">
    <mergeCell ref="Q121:Q122"/>
    <mergeCell ref="Q139:Q140"/>
    <mergeCell ref="Q72:Q75"/>
    <mergeCell ref="Q83:Q85"/>
    <mergeCell ref="Q104:Q115"/>
    <mergeCell ref="Q89:Q91"/>
    <mergeCell ref="Q92:Q10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3059d93-2309-41ed-9b34-ca808a9b9e01">
      <Terms xmlns="http://schemas.microsoft.com/office/infopath/2007/PartnerControls"/>
    </lcf76f155ced4ddcb4097134ff3c332f>
    <TaxCatchAll xmlns="f16b3a5c-980b-46e3-b815-254754dadca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601684506616B4AA25ACEAB11E18AF3" ma:contentTypeVersion="11" ma:contentTypeDescription="Create a new document." ma:contentTypeScope="" ma:versionID="597525ad70e0a0f43a376c2ea30524fe">
  <xsd:schema xmlns:xsd="http://www.w3.org/2001/XMLSchema" xmlns:xs="http://www.w3.org/2001/XMLSchema" xmlns:p="http://schemas.microsoft.com/office/2006/metadata/properties" xmlns:ns2="33059d93-2309-41ed-9b34-ca808a9b9e01" xmlns:ns3="f16b3a5c-980b-46e3-b815-254754dadcaf" targetNamespace="http://schemas.microsoft.com/office/2006/metadata/properties" ma:root="true" ma:fieldsID="8dd4f92f54a6369ae601a3417159086b" ns2:_="" ns3:_="">
    <xsd:import namespace="33059d93-2309-41ed-9b34-ca808a9b9e01"/>
    <xsd:import namespace="f16b3a5c-980b-46e3-b815-254754dadc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059d93-2309-41ed-9b34-ca808a9b9e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1f2941a-98a3-4c0a-b0e5-dcebad1f39f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16b3a5c-980b-46e3-b815-254754dadca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41669ef-df6c-4b27-bee4-ea814f0aefc9}" ma:internalName="TaxCatchAll" ma:showField="CatchAllData" ma:web="f16b3a5c-980b-46e3-b815-254754dadc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0F0DE8-CD6C-4353-8595-A71365F82E0B}"/>
</file>

<file path=customXml/itemProps2.xml><?xml version="1.0" encoding="utf-8"?>
<ds:datastoreItem xmlns:ds="http://schemas.openxmlformats.org/officeDocument/2006/customXml" ds:itemID="{FA883AE3-7F48-4657-8941-554EB5354C78}"/>
</file>

<file path=customXml/itemProps3.xml><?xml version="1.0" encoding="utf-8"?>
<ds:datastoreItem xmlns:ds="http://schemas.openxmlformats.org/officeDocument/2006/customXml" ds:itemID="{D4C3C08B-85DA-4674-BD77-EFDD59A9019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Monica Ram</cp:lastModifiedBy>
  <cp:revision/>
  <dcterms:created xsi:type="dcterms:W3CDTF">2026-04-17T15:15:24Z</dcterms:created>
  <dcterms:modified xsi:type="dcterms:W3CDTF">2026-04-23T14:23:10Z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0x0101001601684506616B4AA25ACEAB11E18AF3</vt:lpwstr>
  </property>
  <property fmtid="{D5CDD505-2E9C-101B-9397-08002B2CF9AE}" pid="3" name="MediaServiceImageTags">
    <vt:lpwstr/>
  </property>
</Properties>
</file>